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82C7445B-B8AB-4654-8503-63D179F7EFE8}"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70" i="1" l="1"/>
  <c r="G1169" i="1"/>
  <c r="G1168" i="1"/>
  <c r="G1167" i="1"/>
  <c r="G1166" i="1"/>
  <c r="G1165" i="1"/>
  <c r="G1164" i="1"/>
  <c r="A1164" i="1"/>
  <c r="A1165" i="1" s="1"/>
  <c r="A1166" i="1" s="1"/>
  <c r="A1167" i="1" s="1"/>
  <c r="A1168" i="1" s="1"/>
  <c r="A1169" i="1" s="1"/>
  <c r="A1170" i="1" s="1"/>
  <c r="G1163" i="1"/>
  <c r="G1162" i="1"/>
  <c r="G1161" i="1"/>
  <c r="G1160" i="1"/>
  <c r="G1159" i="1"/>
  <c r="G1158" i="1"/>
  <c r="G1157" i="1"/>
  <c r="A1157" i="1"/>
  <c r="A1158" i="1" s="1"/>
  <c r="A1159" i="1" s="1"/>
  <c r="A1160" i="1" s="1"/>
  <c r="A1161" i="1" s="1"/>
  <c r="A1162" i="1" s="1"/>
  <c r="A1163" i="1" s="1"/>
  <c r="G1156" i="1"/>
  <c r="G1155" i="1"/>
  <c r="G1154" i="1"/>
  <c r="G1153" i="1"/>
  <c r="G1152" i="1"/>
  <c r="G1151" i="1"/>
  <c r="G1150" i="1"/>
  <c r="A1150" i="1"/>
  <c r="A1151" i="1" s="1"/>
  <c r="A1152" i="1" s="1"/>
  <c r="A1153" i="1" s="1"/>
  <c r="A1154" i="1" s="1"/>
  <c r="A1155" i="1" s="1"/>
  <c r="A1156" i="1" s="1"/>
  <c r="G1149" i="1"/>
  <c r="G1148" i="1"/>
  <c r="G1147" i="1"/>
  <c r="G1146" i="1"/>
  <c r="G1145" i="1"/>
  <c r="A1145" i="1"/>
  <c r="A1146" i="1" s="1"/>
  <c r="A1147" i="1" s="1"/>
  <c r="A1148" i="1" s="1"/>
  <c r="A1149" i="1" s="1"/>
  <c r="G1144" i="1"/>
  <c r="G1143" i="1"/>
  <c r="G1142" i="1"/>
  <c r="G1141" i="1"/>
  <c r="G1140" i="1"/>
  <c r="A1141" i="1"/>
  <c r="A1142" i="1" s="1"/>
  <c r="A1143" i="1" s="1"/>
  <c r="A1144" i="1" s="1"/>
  <c r="A1140" i="1"/>
  <c r="G1139" i="1"/>
  <c r="G1138" i="1"/>
  <c r="G1137" i="1"/>
  <c r="G1136" i="1"/>
  <c r="G1135" i="1"/>
  <c r="G1134" i="1"/>
  <c r="G1133" i="1"/>
  <c r="A1133" i="1"/>
  <c r="A1134" i="1" s="1"/>
  <c r="A1135" i="1" s="1"/>
  <c r="A1136" i="1" s="1"/>
  <c r="A1137" i="1" s="1"/>
  <c r="A1138" i="1" s="1"/>
  <c r="A1139" i="1" s="1"/>
  <c r="G1132" i="1"/>
  <c r="G1131" i="1"/>
  <c r="G1130" i="1"/>
  <c r="G1129" i="1"/>
  <c r="G1128" i="1"/>
  <c r="G1127" i="1"/>
  <c r="G1126" i="1"/>
  <c r="A1126" i="1"/>
  <c r="A1127" i="1" s="1"/>
  <c r="A1128" i="1" s="1"/>
  <c r="A1129" i="1" s="1"/>
  <c r="A1130" i="1" s="1"/>
  <c r="A1131" i="1" s="1"/>
  <c r="A1132" i="1" s="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<sst xmlns="http://schemas.openxmlformats.org/spreadsheetml/2006/main" count="4652" uniqueCount="4261">
  <si>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</si>
  <si>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</si>
  <si>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</si>
  <si>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</si>
  <si>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</si>
  <si>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</si>
  <si>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</si>
  <si>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</si>
  <si>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</si>
  <si>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</si>
  <si>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</si>
  <si>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</si>
  <si>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</si>
  <si>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</si>
  <si>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</si>
  <si>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</si>
  <si>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</si>
  <si>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</si>
  <si>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</si>
  <si>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</si>
  <si>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</si>
  <si>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</si>
  <si>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</si>
  <si>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</si>
  <si>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</si>
  <si>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</si>
  <si>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</si>
  <si>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</si>
  <si>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</si>
  <si>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</si>
  <si>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</si>
  <si>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</si>
  <si>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</si>
  <si>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</si>
  <si>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</si>
  <si>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</si>
  <si>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</si>
  <si>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</si>
  <si>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</si>
  <si>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</si>
  <si>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</si>
  <si>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</si>
  <si>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</si>
  <si>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</si>
  <si>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</si>
  <si>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</si>
  <si>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</si>
  <si>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</si>
  <si>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</si>
  <si>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</si>
  <si>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</si>
  <si>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</si>
  <si>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</si>
  <si>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</si>
  <si>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</si>
  <si>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</si>
  <si>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</si>
  <si>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</si>
  <si>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</si>
  <si>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</si>
  <si>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</si>
  <si>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</si>
  <si>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</si>
  <si>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</si>
  <si>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</si>
  <si>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</si>
  <si>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</si>
  <si>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</si>
  <si>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</si>
  <si>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</si>
  <si>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</si>
  <si>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</si>
  <si>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</si>
  <si>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</si>
  <si>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</si>
  <si>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</si>
  <si>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</si>
  <si>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</si>
  <si>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</si>
  <si>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</si>
  <si>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</si>
  <si>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</si>
  <si>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</si>
  <si>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</si>
  <si>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</si>
  <si>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</si>
  <si>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</si>
  <si>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</si>
  <si>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</si>
  <si>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</si>
  <si>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</si>
  <si>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</si>
  <si>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</si>
  <si>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</si>
  <si>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</si>
  <si>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</si>
  <si>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</si>
  <si>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</si>
  <si>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</si>
  <si>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</si>
  <si>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</si>
  <si>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</si>
  <si>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</si>
  <si>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</si>
  <si>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</si>
  <si>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</si>
  <si>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</si>
  <si>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</si>
  <si>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</si>
  <si>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</si>
  <si>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</si>
  <si>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</si>
  <si>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</si>
  <si>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</si>
  <si>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</si>
  <si>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</si>
  <si>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</si>
  <si>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</si>
  <si>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</si>
  <si>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</si>
  <si>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</si>
  <si>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</si>
  <si>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</si>
  <si>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</si>
  <si>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</si>
  <si>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</si>
  <si>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</si>
  <si>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</si>
  <si>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</si>
  <si>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</si>
  <si>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</si>
  <si>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</si>
  <si>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</si>
  <si>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</si>
  <si>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</si>
  <si>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</si>
  <si>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</si>
  <si>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</si>
  <si>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</si>
  <si>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</si>
  <si>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</si>
  <si>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</si>
  <si>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</si>
  <si>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</si>
  <si>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</si>
  <si>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</si>
  <si>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</si>
  <si>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</si>
  <si>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</si>
  <si>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</si>
  <si>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</si>
  <si>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</si>
  <si>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</si>
  <si>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</si>
  <si>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</si>
  <si>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</si>
  <si>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</si>
  <si>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</si>
  <si>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</si>
  <si>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</si>
  <si>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</si>
  <si>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</si>
  <si>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</si>
  <si>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</si>
  <si>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</si>
  <si>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</si>
  <si>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</si>
  <si>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</si>
  <si>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</si>
  <si>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</si>
  <si>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</si>
  <si>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</si>
  <si>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</si>
  <si>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</si>
  <si>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</si>
  <si>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</si>
  <si>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</si>
  <si>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</si>
  <si>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</si>
  <si>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</si>
  <si>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</si>
  <si>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</si>
  <si>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</si>
  <si>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</si>
  <si>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</si>
  <si>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</si>
  <si>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</si>
  <si>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</si>
  <si>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</si>
  <si>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</si>
  <si>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</si>
  <si>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</si>
  <si>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</si>
  <si>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</si>
  <si>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</si>
  <si>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</si>
  <si>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</si>
  <si>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</si>
  <si>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</si>
  <si>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</si>
  <si>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</si>
  <si>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</si>
  <si>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</si>
  <si>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</si>
  <si>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</si>
  <si>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</si>
  <si>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</si>
  <si>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</si>
  <si>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</si>
  <si>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</si>
  <si>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</si>
  <si>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</si>
  <si>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</si>
  <si>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</si>
  <si>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</si>
  <si>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</si>
  <si>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</si>
  <si>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</si>
  <si>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</si>
  <si>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</si>
  <si>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</si>
  <si>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</si>
  <si>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</si>
  <si>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</si>
  <si>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</si>
  <si>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</si>
  <si>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</si>
  <si>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</si>
  <si>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</si>
  <si>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</si>
  <si>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</si>
  <si>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</si>
  <si>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</si>
  <si>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</si>
  <si>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</si>
  <si>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</si>
  <si>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</si>
  <si>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</si>
  <si>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</si>
  <si>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</si>
  <si>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</si>
  <si>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</si>
  <si>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</si>
  <si>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</si>
  <si>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</si>
  <si>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</si>
  <si>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</si>
  <si>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</si>
  <si>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</si>
  <si>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</si>
  <si>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</si>
  <si>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</si>
  <si>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</si>
  <si>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</si>
  <si>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</si>
  <si>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</si>
  <si>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</si>
  <si>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</si>
  <si>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</si>
  <si>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</si>
  <si>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</si>
  <si>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</si>
  <si>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</si>
  <si>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</si>
  <si>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</si>
  <si>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</si>
  <si>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</si>
  <si>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</si>
  <si>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</si>
  <si>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</si>
  <si>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</si>
  <si>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</si>
  <si>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</si>
  <si>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</si>
  <si>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</si>
  <si>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</si>
  <si>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</si>
  <si>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</si>
  <si>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</si>
  <si>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</si>
  <si>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</si>
  <si>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</si>
  <si>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</si>
  <si>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</si>
  <si>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</si>
  <si>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</si>
  <si>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</si>
  <si>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</si>
  <si>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</si>
  <si>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</si>
  <si>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</si>
  <si>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</si>
  <si>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</si>
  <si>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</si>
  <si>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</si>
  <si>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</si>
  <si>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</si>
  <si>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</si>
  <si>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</si>
  <si>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</si>
  <si>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</si>
  <si>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</si>
  <si>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</si>
  <si>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</si>
  <si>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</si>
  <si>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</si>
  <si>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</si>
  <si>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</si>
  <si>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</si>
  <si>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</si>
  <si>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</si>
  <si>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</si>
  <si>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</si>
  <si>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</si>
  <si>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</si>
  <si>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</si>
  <si>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</si>
  <si>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</si>
  <si>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</si>
  <si>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</si>
  <si>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</si>
  <si>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</si>
  <si>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</si>
  <si>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</si>
  <si>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</si>
  <si>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</si>
  <si>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</si>
  <si>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</si>
  <si>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</si>
  <si>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</si>
  <si>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</si>
  <si>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</si>
  <si>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</si>
  <si>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</si>
  <si>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</si>
  <si>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</si>
  <si>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</si>
  <si>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</si>
  <si>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</si>
  <si>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</si>
  <si>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</si>
  <si>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</si>
  <si>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</si>
  <si>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</si>
  <si>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</si>
  <si>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</si>
  <si>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</si>
  <si>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</si>
  <si>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</si>
  <si>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</si>
  <si>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</si>
  <si>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</si>
  <si>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</si>
  <si>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</si>
  <si>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</si>
  <si>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</si>
  <si>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</si>
  <si>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</si>
  <si>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</si>
  <si>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</si>
  <si>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</si>
  <si>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</si>
  <si>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</si>
  <si>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</si>
  <si>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</si>
  <si>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</si>
  <si>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</si>
  <si>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</si>
  <si>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</si>
  <si>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</si>
  <si>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</si>
  <si>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</si>
  <si>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</si>
  <si>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</si>
  <si>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</si>
  <si>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</si>
  <si>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</si>
  <si>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</si>
  <si>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</si>
  <si>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</si>
  <si>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</si>
  <si>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</si>
  <si>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</si>
  <si>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</si>
  <si>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</si>
  <si>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</si>
  <si>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</si>
  <si>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</si>
  <si>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</si>
  <si>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</si>
  <si>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</si>
  <si>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</si>
  <si>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</si>
  <si>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</si>
  <si>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</si>
  <si>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</si>
  <si>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</si>
  <si>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</si>
  <si>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</si>
  <si>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</si>
  <si>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</si>
  <si>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</si>
  <si>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</si>
  <si>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</si>
  <si>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</si>
  <si>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</si>
  <si>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</si>
  <si>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</si>
  <si>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</si>
  <si>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</si>
  <si>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</si>
  <si>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</si>
  <si>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</si>
  <si>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</si>
  <si>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</si>
  <si>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</si>
  <si>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</si>
  <si>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</si>
  <si>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</si>
  <si>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</si>
  <si>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</si>
  <si>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</si>
  <si>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</si>
  <si>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</si>
  <si>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</si>
  <si>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</si>
  <si>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</si>
  <si>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</si>
  <si>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</si>
  <si>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</si>
  <si>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</si>
  <si>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</si>
  <si>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</si>
  <si>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</si>
  <si>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</si>
  <si>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</si>
  <si>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</si>
  <si>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</si>
  <si>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</si>
  <si>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</si>
  <si>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</si>
  <si>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</si>
  <si>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</si>
  <si>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</si>
  <si>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</si>
  <si>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</si>
  <si>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</si>
  <si>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</si>
  <si>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</si>
  <si>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</si>
  <si>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</si>
  <si>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</si>
  <si>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</si>
  <si>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</si>
  <si>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</si>
  <si>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</si>
  <si>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</si>
  <si>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</si>
  <si>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</si>
  <si>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</si>
  <si>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</si>
  <si>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</si>
  <si>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</si>
  <si>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</si>
  <si>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</si>
  <si>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</si>
  <si>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</si>
  <si>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</si>
  <si>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</si>
  <si>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</si>
  <si>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</si>
  <si>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</si>
  <si>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</si>
  <si>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</si>
  <si>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</si>
  <si>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</si>
  <si>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</si>
  <si>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</si>
  <si>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</si>
  <si>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</si>
  <si>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</si>
  <si>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</si>
  <si>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</si>
  <si>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</si>
  <si>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</si>
  <si>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</si>
  <si>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</si>
  <si>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</si>
  <si>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</si>
  <si>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</si>
  <si>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</si>
  <si>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</si>
  <si>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</si>
  <si>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</si>
  <si>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</si>
  <si>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</si>
  <si>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</si>
  <si>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</si>
  <si>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</si>
  <si>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</si>
  <si>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</si>
  <si>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</si>
  <si>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</si>
  <si>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</si>
  <si>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</si>
  <si>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</si>
  <si>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</si>
  <si>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</si>
  <si>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</si>
  <si>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</si>
  <si>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</si>
  <si>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</si>
  <si>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</si>
  <si>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</si>
  <si>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</si>
  <si>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</si>
  <si>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</si>
  <si>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</si>
  <si>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</si>
  <si>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</si>
  <si>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</si>
  <si>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</si>
  <si>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</si>
  <si>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</si>
  <si>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</si>
  <si>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</si>
  <si>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</si>
  <si>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</si>
  <si>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</si>
  <si>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</si>
  <si>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</si>
  <si>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</si>
  <si>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</si>
  <si>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</si>
  <si>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</si>
  <si>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</si>
  <si>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</si>
  <si>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</si>
  <si>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</si>
  <si>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</si>
  <si>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</si>
  <si>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</si>
  <si>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</si>
  <si>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</si>
  <si>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</si>
  <si>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</si>
  <si>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</si>
  <si>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</si>
  <si>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</si>
  <si>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</si>
  <si>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</si>
  <si>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</si>
  <si>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</si>
  <si>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</si>
  <si>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</si>
  <si>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</si>
  <si>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</si>
  <si>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</si>
  <si>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</si>
  <si>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</si>
  <si>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</si>
  <si>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</si>
  <si>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</si>
  <si>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</si>
  <si>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</si>
  <si>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</si>
  <si>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</si>
  <si>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</si>
  <si>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</si>
  <si>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</si>
  <si>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</si>
  <si>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</si>
  <si>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</si>
  <si>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</si>
  <si>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</si>
  <si>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</si>
  <si>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</si>
  <si>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</si>
  <si>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</si>
  <si>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</si>
  <si>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</si>
  <si>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</si>
  <si>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</si>
  <si>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</si>
  <si>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</si>
  <si>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</si>
  <si>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</si>
  <si>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</si>
  <si>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</si>
  <si>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</si>
  <si>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</si>
  <si>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</si>
  <si>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</si>
  <si>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</si>
  <si>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</si>
  <si>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</si>
  <si>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</si>
  <si>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</si>
  <si>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</si>
  <si>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</si>
  <si>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</si>
  <si>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</si>
  <si>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</si>
  <si>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</si>
  <si>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</si>
  <si>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</si>
  <si>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</si>
  <si>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</si>
  <si>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</si>
  <si>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</si>
  <si>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</si>
  <si>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</si>
  <si>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</si>
  <si>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</si>
  <si>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</si>
  <si>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</si>
  <si>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</si>
  <si>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</si>
  <si>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</si>
  <si>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</si>
  <si>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</si>
  <si>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</si>
  <si>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</si>
  <si>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</si>
  <si>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</si>
  <si>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</si>
  <si>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</si>
  <si>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</si>
  <si>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</si>
  <si>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</si>
  <si>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</si>
  <si>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</si>
  <si>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</si>
  <si>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</si>
  <si>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</si>
  <si>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</si>
  <si>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</si>
  <si>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</si>
  <si>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</si>
  <si>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</si>
  <si>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</si>
  <si>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</si>
  <si>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</si>
  <si>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</si>
  <si>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</si>
  <si>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</si>
  <si>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</si>
  <si>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</si>
  <si>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</si>
  <si>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</si>
  <si>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</si>
  <si>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</si>
  <si>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</si>
  <si>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</si>
  <si>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</si>
  <si>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</si>
  <si>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</si>
  <si>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</si>
  <si>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</si>
  <si>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</si>
  <si>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</si>
  <si>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</si>
  <si>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</si>
  <si>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</si>
  <si>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</si>
  <si>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</si>
  <si>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</si>
  <si>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</si>
  <si>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</si>
  <si>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</si>
  <si>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</si>
  <si>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</si>
  <si>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</si>
  <si>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</si>
  <si>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</si>
  <si>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</si>
  <si>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</si>
  <si>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</si>
  <si>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</si>
  <si>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</si>
  <si>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</si>
  <si>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</si>
  <si>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</si>
  <si>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</si>
  <si>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</si>
  <si>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</si>
  <si>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</si>
  <si>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</si>
  <si>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</si>
  <si>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</si>
  <si>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</si>
  <si>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</si>
  <si>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</si>
  <si>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</si>
  <si>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</si>
  <si>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</si>
  <si>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</si>
  <si>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</si>
  <si>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</si>
  <si>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</si>
  <si>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</si>
  <si>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</si>
  <si>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</si>
  <si>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</si>
  <si>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</si>
  <si>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</si>
  <si>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</si>
  <si>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</si>
  <si>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</si>
  <si>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</si>
  <si>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</si>
  <si>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</si>
  <si>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</si>
  <si>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</si>
  <si>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</si>
  <si>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</si>
  <si>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</si>
  <si>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</si>
  <si>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</si>
  <si>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</si>
  <si>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</si>
  <si>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</si>
  <si>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</si>
  <si>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</si>
  <si>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</si>
  <si>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</si>
  <si>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</si>
  <si>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</si>
  <si>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</si>
  <si>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</si>
  <si>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</si>
  <si>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</si>
  <si>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</si>
  <si>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</si>
  <si>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</si>
  <si>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</si>
  <si>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</si>
  <si>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</si>
  <si>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</si>
  <si>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</si>
  <si>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</si>
  <si>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</si>
  <si>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</si>
  <si>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</si>
  <si>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</si>
  <si>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</si>
  <si>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</si>
  <si>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</si>
  <si>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</si>
  <si>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</si>
  <si>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</si>
  <si>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</si>
  <si>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</si>
  <si>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</si>
  <si>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</si>
  <si>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</si>
  <si>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</si>
  <si>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</si>
  <si>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</si>
  <si>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</si>
  <si>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</si>
  <si>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</si>
  <si>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</si>
  <si>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</si>
  <si>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</si>
  <si>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</si>
  <si>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</si>
  <si>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</si>
  <si>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</si>
  <si>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</si>
  <si>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</si>
  <si>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</si>
  <si>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</si>
  <si>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</si>
  <si>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</si>
  <si>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</si>
  <si>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</si>
  <si>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</si>
  <si>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</si>
  <si>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</si>
  <si>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</si>
  <si>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</si>
  <si>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</si>
  <si>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</si>
  <si>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</si>
  <si>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</si>
  <si>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</si>
  <si>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</si>
  <si>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</si>
  <si>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</si>
  <si>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</si>
  <si>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</si>
  <si>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</si>
  <si>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</si>
  <si>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</si>
  <si>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</si>
  <si>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</si>
  <si>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</si>
  <si>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</si>
  <si>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</si>
  <si>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</si>
  <si>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</si>
  <si>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</si>
  <si>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</si>
  <si>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</si>
  <si>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</si>
  <si>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</si>
  <si>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</si>
  <si>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</si>
  <si>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</si>
  <si>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</si>
  <si>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</si>
  <si>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</si>
  <si>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</si>
  <si>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</si>
  <si>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</si>
  <si>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</si>
  <si>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</si>
  <si>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</si>
  <si>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</si>
  <si>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</si>
  <si>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</si>
  <si>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</si>
  <si>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</si>
  <si>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</si>
  <si>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</si>
  <si>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</si>
  <si>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</si>
  <si>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</si>
  <si>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</si>
  <si>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</si>
  <si>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</si>
  <si>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</si>
  <si>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</si>
  <si>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</si>
  <si>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</si>
  <si>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</si>
  <si>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</si>
  <si>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</si>
  <si>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</si>
  <si>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</si>
  <si>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</si>
  <si>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</si>
  <si>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</si>
  <si>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</si>
  <si>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</si>
  <si>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</si>
  <si>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</si>
  <si>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</si>
  <si>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</si>
  <si>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</si>
  <si>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</si>
  <si>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</si>
  <si>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</si>
  <si>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</si>
  <si>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</si>
  <si>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</si>
  <si>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</si>
  <si>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</si>
  <si>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</si>
  <si>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</si>
  <si>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</si>
  <si>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</si>
  <si>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</si>
  <si>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</si>
  <si>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</si>
  <si>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</si>
  <si>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</si>
  <si>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</si>
  <si>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</si>
  <si>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</si>
  <si>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</si>
  <si>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</si>
  <si>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</si>
  <si>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</si>
  <si>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</si>
  <si>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</si>
  <si>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</si>
  <si>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</si>
  <si>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</si>
  <si>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</si>
  <si>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</si>
  <si>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</si>
  <si>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</si>
  <si>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</si>
  <si>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</si>
  <si>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</si>
  <si>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</si>
  <si>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</si>
  <si>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</si>
  <si>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</si>
  <si>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</si>
  <si>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</si>
  <si>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</si>
  <si>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</si>
  <si>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</si>
  <si>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</si>
  <si>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</si>
  <si>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</si>
  <si>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</si>
  <si>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</si>
  <si>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</si>
  <si>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</si>
  <si>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</si>
  <si>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</si>
  <si>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</si>
  <si>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</si>
  <si>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</si>
  <si>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</si>
  <si>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</si>
  <si>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</si>
  <si>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</si>
  <si>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</si>
  <si>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</si>
  <si>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</si>
  <si>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</si>
  <si>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</si>
  <si>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</si>
  <si>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</si>
  <si>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</si>
  <si>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</si>
  <si>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</si>
  <si>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</si>
  <si>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</si>
  <si>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</si>
  <si>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</si>
  <si>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</si>
  <si>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</si>
  <si>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</si>
  <si>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</si>
  <si>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</si>
  <si>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</si>
  <si>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</si>
  <si>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</si>
  <si>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</si>
  <si>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</si>
  <si>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</si>
  <si>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</si>
  <si>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</si>
  <si>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</si>
  <si>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</si>
  <si>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</si>
  <si>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</si>
  <si>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</si>
  <si>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</si>
  <si>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</si>
  <si>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</si>
  <si>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</si>
  <si>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</si>
  <si>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</si>
  <si>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</si>
  <si>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</si>
  <si>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</si>
  <si>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</si>
  <si>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</si>
  <si>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</si>
  <si>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</si>
  <si>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</si>
  <si>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</si>
  <si>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</si>
  <si>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</si>
  <si>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</si>
  <si>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</si>
  <si>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</si>
  <si>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</si>
  <si>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</si>
  <si>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</si>
  <si>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</si>
  <si>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</si>
  <si>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</si>
  <si>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</si>
  <si>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</si>
  <si>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</si>
  <si>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</si>
  <si>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</si>
  <si>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</si>
  <si>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</si>
  <si>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</si>
  <si>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</si>
  <si>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</si>
  <si>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</si>
  <si>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</si>
  <si>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</si>
  <si>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</si>
  <si>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</si>
  <si>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</si>
  <si>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</si>
  <si>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</si>
  <si>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</si>
  <si>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</si>
  <si>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</si>
  <si>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</si>
  <si>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</si>
  <si>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</si>
  <si>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</si>
  <si>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</si>
  <si>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</si>
  <si>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</si>
  <si>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</si>
  <si>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</si>
  <si>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</si>
  <si>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</si>
  <si>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</si>
  <si>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</si>
  <si>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</si>
  <si>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</si>
  <si>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</si>
  <si>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</si>
  <si>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</si>
  <si>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</si>
  <si>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</si>
  <si>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</si>
  <si>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</si>
  <si>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</si>
  <si>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</si>
  <si>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</si>
  <si>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</si>
  <si>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</si>
  <si>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</si>
  <si>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</si>
  <si>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</si>
  <si>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</si>
  <si>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</si>
  <si>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</si>
  <si>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</si>
  <si>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</si>
  <si>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</si>
  <si>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</si>
  <si>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</si>
  <si>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</si>
  <si>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</si>
  <si>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</si>
  <si>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</si>
  <si>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</si>
  <si>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</si>
  <si>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</si>
  <si>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</si>
  <si>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</si>
  <si>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</si>
  <si>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</si>
  <si>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</si>
  <si>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</si>
  <si>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</si>
  <si>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</si>
  <si>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</si>
  <si>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</si>
  <si>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</si>
  <si>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</si>
  <si>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</si>
  <si>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</si>
  <si>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</si>
  <si>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</si>
  <si>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</si>
  <si>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</si>
  <si>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</si>
  <si>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</si>
  <si>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</si>
  <si>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</si>
  <si>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</si>
  <si>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</si>
  <si>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</si>
  <si>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</si>
  <si>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</si>
  <si>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</si>
  <si>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</si>
  <si>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</si>
  <si>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</si>
  <si>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</si>
  <si>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</si>
  <si>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</si>
  <si>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</si>
  <si>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</si>
  <si>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</si>
  <si>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</si>
  <si>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</si>
  <si>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</si>
  <si>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</si>
  <si>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</si>
  <si>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</si>
  <si>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</si>
  <si>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</si>
  <si>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</si>
  <si>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</si>
  <si>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</si>
  <si>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</si>
  <si>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</si>
  <si>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</si>
  <si>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</si>
  <si>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</si>
  <si>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</si>
  <si>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</si>
  <si>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</si>
  <si>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</si>
  <si>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</si>
  <si>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</si>
  <si>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</si>
  <si>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</si>
  <si>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</si>
  <si>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</si>
  <si>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</si>
  <si>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</si>
  <si>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</si>
  <si>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</si>
  <si>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</si>
  <si>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</si>
  <si>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</si>
  <si>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</si>
  <si>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</si>
  <si>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</si>
  <si>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</si>
  <si>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</si>
  <si>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</si>
  <si>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</si>
  <si>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</si>
  <si>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</si>
  <si>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</si>
  <si>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</si>
  <si>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</si>
  <si>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</si>
  <si>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</si>
  <si>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</si>
  <si>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</si>
  <si>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</si>
  <si>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</si>
  <si>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</si>
  <si>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</si>
  <si>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</si>
  <si>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</si>
  <si>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</si>
  <si>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</si>
  <si>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</si>
  <si>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</si>
  <si>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</si>
  <si>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</si>
  <si>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</si>
  <si>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</si>
  <si>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</si>
  <si>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</si>
  <si>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</si>
  <si>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</si>
  <si>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</si>
  <si>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</si>
  <si>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</si>
  <si>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</si>
  <si>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</si>
  <si>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</si>
  <si>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</si>
  <si>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</si>
  <si>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</si>
  <si>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</si>
  <si>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</si>
  <si>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</si>
  <si>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</si>
  <si>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</si>
  <si>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</si>
  <si>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</si>
  <si>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</si>
  <si>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</si>
  <si>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</si>
  <si>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</si>
  <si>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</si>
  <si>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</si>
  <si>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</si>
  <si>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</si>
  <si>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</si>
  <si>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</si>
  <si>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</si>
  <si>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</si>
  <si>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</si>
  <si>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</si>
  <si>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</si>
  <si>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</si>
  <si>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</si>
  <si>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</si>
  <si>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</si>
  <si>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</si>
  <si>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</si>
  <si>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</si>
  <si>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</si>
  <si>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</si>
  <si>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</si>
  <si>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</si>
  <si>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</si>
  <si>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</si>
  <si>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</si>
  <si>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</si>
  <si>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</si>
  <si>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</si>
  <si>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</si>
  <si>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</si>
  <si>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</si>
  <si>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</si>
  <si>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</si>
  <si>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</si>
  <si>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</si>
  <si>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</si>
  <si>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</si>
  <si>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</si>
  <si>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</si>
  <si>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</si>
  <si>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</si>
  <si>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</si>
  <si>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</si>
  <si>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</si>
  <si>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</si>
  <si>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</si>
  <si>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</si>
  <si>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</si>
  <si>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</si>
  <si>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</si>
  <si>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</si>
  <si>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</si>
  <si>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</si>
  <si>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</si>
  <si>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</si>
  <si>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</si>
  <si>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</si>
  <si>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</si>
  <si>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</si>
  <si>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</si>
  <si>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</si>
  <si>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</si>
  <si>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</si>
  <si>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</si>
  <si>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</si>
  <si>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</si>
  <si>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</si>
  <si>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</si>
  <si>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</si>
  <si>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</si>
  <si>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</si>
  <si>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</si>
  <si>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</si>
  <si>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</si>
  <si>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</si>
  <si>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</si>
  <si>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</si>
  <si>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</si>
  <si>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</si>
  <si>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</si>
  <si>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</si>
  <si>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</si>
  <si>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</si>
  <si>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</si>
  <si>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</si>
  <si>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</si>
  <si>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</si>
  <si>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</si>
  <si>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</si>
  <si>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</si>
  <si>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</si>
  <si>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</si>
  <si>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</si>
  <si>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</si>
  <si>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</si>
  <si>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</si>
  <si>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</si>
  <si>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</si>
  <si>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</si>
  <si>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</si>
  <si>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</si>
  <si>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</si>
  <si>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</si>
  <si>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</si>
  <si>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</si>
  <si>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</si>
  <si>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</si>
  <si>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</si>
  <si>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</si>
  <si>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</si>
  <si>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</si>
  <si>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</si>
  <si>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</si>
  <si>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</si>
  <si>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</si>
  <si>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</si>
  <si>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</si>
  <si>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</si>
  <si>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</si>
  <si>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</si>
  <si>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</si>
  <si>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</si>
  <si>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</si>
  <si>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</si>
  <si>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</si>
  <si>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</si>
  <si>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</si>
  <si>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</si>
  <si>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</si>
  <si>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</si>
  <si>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</si>
  <si>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</si>
  <si>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</si>
  <si>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</si>
  <si>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</si>
  <si>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</si>
  <si>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</si>
  <si>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</si>
  <si>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</si>
  <si>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</si>
  <si>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</si>
  <si>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</si>
  <si>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</si>
  <si>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</si>
  <si>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</si>
  <si>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</si>
  <si>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</si>
  <si>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</si>
  <si>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</si>
  <si>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</si>
  <si>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</si>
  <si>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</si>
  <si>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</si>
  <si>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</si>
  <si>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</si>
  <si>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</si>
  <si>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</si>
  <si>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</si>
  <si>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</si>
  <si>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</si>
  <si>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</si>
  <si>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</si>
  <si>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</si>
  <si>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</si>
  <si>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</si>
  <si>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</si>
  <si>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</si>
  <si>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</si>
  <si>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</si>
  <si>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</si>
  <si>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</si>
  <si>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</si>
  <si>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</si>
  <si>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</si>
  <si>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</si>
  <si>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</si>
  <si>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</si>
  <si>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</si>
  <si>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</si>
  <si>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</si>
  <si>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</si>
  <si>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</si>
  <si>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</si>
  <si>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</si>
  <si>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</si>
  <si>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</si>
  <si>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</si>
  <si>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</si>
  <si>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</si>
  <si>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</si>
  <si>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</si>
  <si>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</si>
  <si>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</si>
  <si>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</si>
  <si>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</si>
  <si>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</si>
  <si>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</si>
  <si>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</si>
  <si>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</si>
  <si>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</si>
  <si>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</si>
  <si>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</si>
  <si>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</si>
  <si>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</si>
  <si>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</si>
  <si>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</si>
  <si>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</si>
  <si>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</si>
  <si>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</si>
  <si>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</si>
  <si>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</si>
  <si>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</si>
  <si>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</si>
  <si>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</si>
  <si>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</si>
  <si>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</si>
  <si>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</si>
  <si>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</si>
  <si>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</si>
  <si>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</si>
  <si>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</si>
  <si>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</si>
  <si>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</si>
  <si>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</si>
  <si>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</si>
  <si>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</si>
  <si>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</si>
  <si>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</si>
  <si>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</si>
  <si>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</si>
  <si>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</si>
  <si>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</si>
  <si>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</si>
  <si>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</si>
  <si>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</si>
  <si>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</si>
  <si>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</si>
  <si>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</si>
  <si>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</si>
  <si>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</si>
  <si>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</si>
  <si>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</si>
  <si>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</si>
  <si>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</si>
  <si>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</si>
  <si>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</si>
  <si>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</si>
  <si>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</si>
  <si>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</si>
  <si>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</si>
  <si>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</si>
  <si>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</si>
  <si>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</si>
  <si>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</si>
  <si>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</si>
  <si>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</si>
  <si>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</si>
  <si>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</si>
  <si>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</si>
  <si>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</si>
  <si>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</si>
  <si>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</si>
  <si>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</si>
  <si>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</si>
  <si>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</si>
  <si>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</si>
  <si>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</si>
  <si>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</si>
  <si>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</si>
  <si>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</si>
  <si>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</si>
  <si>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</si>
  <si>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</si>
  <si>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</si>
  <si>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</si>
  <si>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</si>
  <si>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</si>
  <si>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</si>
  <si>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</si>
  <si>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</si>
  <si>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</si>
  <si>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</si>
  <si>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</si>
  <si>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</si>
  <si>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</si>
  <si>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</si>
  <si>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</si>
  <si>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</si>
  <si>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</si>
  <si>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</si>
  <si>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</si>
  <si>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</si>
  <si>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</si>
  <si>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</si>
  <si>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</si>
  <si>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</si>
  <si>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</si>
  <si>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</si>
  <si>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</si>
  <si>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</si>
  <si>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</si>
  <si>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</si>
  <si>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</si>
  <si>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</si>
  <si>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</si>
  <si>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</si>
  <si>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</si>
  <si>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</si>
  <si>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</si>
  <si>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</si>
  <si>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</si>
  <si>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</si>
  <si>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</si>
  <si>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</si>
  <si>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</si>
  <si>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</si>
  <si>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</si>
  <si>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</si>
  <si>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</si>
  <si>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</si>
  <si>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</si>
  <si>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</si>
  <si>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</si>
  <si>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</si>
  <si>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</si>
  <si>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</si>
  <si>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</si>
  <si>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</si>
  <si>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</si>
  <si>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</si>
  <si>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</si>
  <si>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</si>
  <si>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</si>
  <si>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</si>
  <si>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</si>
  <si>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</si>
  <si>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</si>
  <si>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</si>
  <si>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</si>
  <si>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</si>
  <si>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</si>
  <si>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</si>
  <si>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</si>
  <si>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</si>
  <si>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</si>
  <si>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</si>
  <si>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</si>
  <si>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</si>
  <si>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</si>
  <si>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</si>
  <si>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</si>
  <si>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</si>
  <si>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</si>
  <si>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</si>
  <si>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</si>
  <si>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</si>
  <si>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</si>
  <si>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</si>
  <si>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</si>
  <si>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</si>
  <si>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</si>
  <si>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</si>
  <si>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</si>
  <si>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</si>
  <si>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</si>
  <si>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</si>
  <si>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</si>
  <si>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</si>
  <si>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</si>
  <si>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</si>
  <si>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</si>
  <si>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</si>
  <si>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</si>
  <si>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</si>
  <si>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</si>
  <si>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</si>
  <si>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</si>
  <si>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</si>
  <si>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</si>
  <si>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</si>
  <si>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</si>
  <si>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</si>
  <si>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</si>
  <si>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</si>
  <si>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</si>
  <si>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</si>
  <si>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</si>
  <si>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</si>
  <si>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</si>
  <si>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</si>
  <si>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</si>
  <si>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</si>
  <si>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</si>
  <si>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</si>
  <si>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</si>
  <si>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</si>
  <si>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</si>
  <si>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</si>
  <si>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</si>
  <si>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</si>
  <si>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</si>
  <si>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</si>
  <si>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</si>
  <si>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</si>
  <si>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</si>
  <si>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</si>
  <si>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</si>
  <si>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</si>
  <si>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</si>
  <si>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</si>
  <si>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</si>
  <si>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</si>
  <si>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</si>
  <si>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</si>
  <si>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</si>
  <si>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</si>
  <si>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</si>
  <si>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</si>
  <si>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</si>
  <si>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</si>
  <si>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</si>
  <si>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</si>
  <si>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</si>
  <si>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</si>
  <si>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</si>
  <si>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</si>
  <si>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</si>
  <si>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</si>
  <si>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</si>
  <si>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</si>
  <si>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</si>
  <si>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</si>
  <si>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</si>
  <si>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</si>
  <si>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</si>
  <si>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</si>
  <si>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</si>
  <si>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</si>
  <si>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</si>
  <si>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</si>
  <si>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</si>
  <si>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</si>
  <si>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</si>
  <si>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</si>
  <si>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</si>
  <si>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</si>
  <si>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</si>
  <si>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</si>
  <si>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</si>
  <si>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</si>
  <si>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</si>
  <si>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</si>
  <si>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</si>
  <si>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</si>
  <si>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</si>
  <si>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</si>
  <si>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</si>
  <si>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</si>
  <si>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</si>
  <si>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</si>
  <si>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</si>
  <si>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</si>
  <si>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</si>
  <si>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</si>
  <si>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</si>
  <si>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</si>
  <si>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</si>
  <si>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</si>
  <si>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</si>
  <si>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</si>
  <si>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</si>
  <si>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</si>
  <si>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</si>
  <si>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</si>
  <si>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</si>
  <si>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</si>
  <si>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</si>
  <si>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</si>
  <si>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</si>
  <si>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</si>
  <si>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</si>
  <si>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</si>
  <si>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</si>
  <si>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</si>
  <si>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</si>
  <si>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</si>
  <si>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</si>
  <si>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</si>
  <si>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</si>
  <si>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</si>
  <si>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</si>
  <si>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</si>
  <si>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</si>
  <si>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</si>
  <si>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</si>
  <si>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</si>
  <si>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</si>
  <si>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</si>
  <si>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</si>
  <si>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</si>
  <si>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</si>
  <si>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</si>
  <si>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</si>
  <si>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</si>
  <si>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</si>
  <si>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</si>
  <si>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</si>
  <si>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</si>
  <si>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</si>
  <si>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</si>
  <si>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</si>
  <si>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</si>
  <si>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</si>
  <si>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</si>
  <si>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</si>
  <si>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</si>
  <si>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</si>
  <si>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</si>
  <si>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</si>
  <si>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</si>
  <si>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</si>
  <si>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</si>
  <si>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</si>
  <si>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</si>
  <si>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</si>
  <si>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</si>
  <si>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</si>
  <si>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</si>
  <si>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</si>
  <si>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</si>
  <si>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</si>
  <si>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</si>
  <si>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</si>
  <si>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</si>
  <si>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</si>
  <si>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</si>
  <si>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</si>
  <si>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</si>
  <si>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</si>
  <si>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</si>
  <si>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</si>
  <si>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</si>
  <si>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</si>
  <si>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</si>
  <si>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</si>
  <si>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</si>
  <si>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</si>
  <si>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</si>
  <si>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</si>
  <si>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</si>
  <si>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</si>
  <si>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</si>
  <si>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</si>
  <si>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</si>
  <si>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</si>
  <si>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</si>
  <si>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</si>
  <si>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</si>
  <si>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</si>
  <si>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</si>
  <si>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</si>
  <si>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</si>
  <si>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</si>
  <si>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</si>
  <si>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</si>
  <si>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</si>
  <si>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</si>
  <si>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</si>
  <si>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</si>
  <si>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</si>
  <si>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</si>
  <si>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</si>
  <si>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</si>
  <si>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</si>
  <si>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</si>
  <si>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</si>
  <si>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</si>
  <si>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</si>
  <si>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</si>
  <si>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</si>
  <si>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</si>
  <si>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</si>
  <si>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</si>
  <si>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</si>
  <si>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</si>
  <si>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</si>
  <si>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</si>
  <si>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</si>
  <si>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</si>
  <si>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</si>
  <si>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</si>
  <si>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</si>
  <si>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</si>
  <si>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</si>
  <si>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</si>
  <si>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</si>
  <si>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</si>
  <si>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</si>
  <si>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</si>
  <si>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</si>
  <si>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</si>
  <si>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</si>
  <si>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</si>
  <si>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</si>
  <si>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</si>
  <si>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</si>
  <si>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</si>
  <si>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</si>
  <si>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</si>
  <si>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</si>
  <si>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</si>
  <si>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</si>
  <si>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</si>
  <si>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</si>
  <si>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</si>
  <si>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</si>
  <si>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</si>
  <si>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</si>
  <si>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</si>
  <si>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</si>
  <si>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</si>
  <si>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</si>
  <si>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</si>
  <si>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</si>
  <si>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</si>
  <si>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</si>
  <si>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</si>
  <si>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</si>
  <si>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</si>
  <si>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</si>
  <si>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</si>
  <si>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</si>
  <si>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</si>
  <si>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</si>
  <si>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</si>
  <si>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</si>
  <si>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</si>
  <si>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</si>
  <si>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</si>
  <si>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</si>
  <si>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</si>
  <si>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</si>
  <si>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</si>
  <si>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</si>
  <si>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</si>
  <si>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</si>
  <si>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</si>
  <si>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</si>
  <si>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</si>
  <si>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</si>
  <si>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</si>
  <si>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</si>
  <si>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</si>
  <si>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</si>
  <si>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</si>
  <si>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</si>
  <si>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</si>
  <si>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</si>
  <si>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</si>
  <si>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</si>
  <si>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</si>
  <si>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</si>
  <si>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</si>
  <si>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</si>
  <si>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</si>
  <si>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</si>
  <si>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</si>
  <si>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</si>
  <si>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</si>
  <si>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</si>
  <si>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</si>
  <si>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</si>
  <si>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</si>
  <si>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</si>
  <si>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</si>
  <si>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</si>
  <si>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</si>
  <si>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</si>
  <si>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</si>
  <si>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</si>
  <si>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</si>
  <si>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</si>
  <si>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</si>
  <si>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</si>
  <si>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</si>
  <si>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</si>
  <si>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</si>
  <si>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</si>
  <si>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</si>
  <si>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</si>
  <si>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</si>
  <si>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</si>
  <si>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</si>
  <si>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</si>
  <si>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</si>
  <si>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</si>
  <si>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</si>
  <si>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</si>
  <si>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</si>
  <si>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</si>
  <si>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</si>
  <si>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</si>
  <si>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</si>
  <si>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</si>
  <si>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</si>
  <si>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</si>
  <si>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</si>
  <si>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</si>
  <si>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</si>
  <si>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</si>
  <si>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</si>
  <si>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</si>
  <si>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</si>
  <si>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</si>
  <si>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</si>
  <si>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</si>
  <si>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</si>
  <si>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</si>
  <si>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</si>
  <si>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</si>
  <si>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</si>
  <si>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</si>
  <si>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</si>
  <si>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</si>
  <si>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</si>
  <si>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</si>
  <si>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</si>
  <si>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</si>
  <si>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</si>
  <si>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</si>
  <si>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</si>
  <si>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</si>
  <si>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</si>
  <si>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</si>
  <si>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</si>
  <si>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</si>
  <si>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</si>
  <si>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</si>
  <si>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</si>
  <si>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</si>
  <si>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</si>
  <si>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</si>
  <si>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</si>
  <si>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</si>
  <si>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</si>
  <si>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</si>
  <si>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</si>
  <si>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</si>
  <si>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</si>
  <si>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</si>
  <si>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</si>
  <si>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</si>
  <si>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</si>
  <si>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</si>
  <si>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</si>
  <si>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</si>
  <si>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</si>
  <si>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</si>
  <si>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</si>
  <si>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</si>
  <si>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</si>
  <si>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</si>
  <si>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</si>
  <si>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</si>
  <si>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</si>
  <si>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</si>
  <si>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</si>
  <si>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</si>
  <si>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</si>
  <si>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</si>
  <si>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</si>
  <si>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</si>
  <si>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</si>
  <si>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</si>
  <si>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</si>
  <si>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</si>
  <si>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</si>
  <si>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</si>
  <si>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</si>
  <si>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</si>
  <si>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</si>
  <si>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</si>
  <si>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</si>
  <si>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</si>
  <si>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</si>
  <si>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</si>
  <si>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</si>
  <si>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</si>
  <si>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</si>
  <si>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</si>
  <si>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</si>
  <si>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</si>
  <si>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</si>
  <si>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</si>
  <si>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</si>
  <si>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</si>
  <si>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</si>
  <si>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</si>
  <si>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</si>
  <si>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</si>
  <si>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</si>
  <si>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</si>
  <si>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</si>
  <si>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</si>
  <si>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</si>
  <si>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</si>
  <si>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</si>
  <si>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</si>
  <si>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</si>
  <si>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</si>
  <si>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</si>
  <si>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</si>
  <si>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</si>
  <si>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</si>
  <si>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</si>
  <si>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</si>
  <si>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</si>
  <si>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</si>
  <si>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</si>
  <si>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</si>
  <si>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</si>
  <si>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</si>
  <si>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</si>
  <si>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</si>
  <si>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</si>
  <si>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</si>
  <si>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</si>
  <si>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</si>
  <si>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</si>
  <si>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</si>
  <si>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</si>
  <si>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</si>
  <si>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</si>
  <si>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</si>
  <si>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</si>
  <si>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</si>
  <si>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</si>
  <si>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</si>
  <si>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</si>
  <si>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</si>
  <si>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</si>
  <si>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</si>
  <si>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</si>
  <si>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</si>
  <si>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</si>
  <si>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</si>
  <si>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</si>
  <si>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</si>
  <si>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</si>
  <si>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</si>
  <si>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</si>
  <si>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</si>
  <si>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</si>
  <si>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</si>
  <si>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</si>
  <si>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</si>
  <si>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</si>
  <si>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</si>
  <si>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</si>
  <si>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</si>
  <si>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</si>
  <si>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</si>
  <si>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</si>
  <si>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</si>
  <si>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</si>
  <si>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</si>
  <si>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</si>
  <si>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</si>
  <si>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</si>
  <si>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</si>
  <si>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</si>
  <si>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</si>
  <si>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</si>
  <si>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</si>
  <si>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</si>
  <si>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</si>
  <si>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</si>
  <si>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</si>
  <si>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</si>
  <si>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</si>
  <si>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</si>
  <si>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</si>
  <si>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</si>
  <si>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</si>
  <si>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</si>
  <si>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</si>
  <si>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</si>
  <si>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</si>
  <si>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</si>
  <si>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</si>
  <si>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</si>
  <si>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</si>
  <si>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</si>
  <si>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</si>
  <si>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</si>
  <si>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</si>
  <si>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</si>
  <si>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</si>
  <si>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</si>
  <si>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</si>
  <si>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</si>
  <si>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</si>
  <si>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</si>
  <si>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</si>
  <si>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</si>
  <si>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</si>
  <si>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</si>
  <si>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</si>
  <si>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</si>
  <si>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</si>
  <si>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</si>
  <si>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</si>
  <si>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</si>
  <si>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</si>
  <si>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</si>
  <si>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</si>
  <si>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</si>
  <si>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</si>
  <si>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</si>
  <si>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</si>
  <si>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</si>
  <si>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</si>
  <si>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</si>
  <si>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</si>
  <si>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</si>
  <si>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</si>
  <si>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</si>
  <si>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</si>
  <si>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</si>
  <si>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</si>
  <si>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</si>
  <si>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</si>
  <si>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</si>
  <si>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</si>
  <si>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</si>
  <si>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</si>
  <si>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</si>
  <si>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</si>
  <si>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</si>
  <si>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</si>
  <si>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</si>
  <si>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</si>
  <si>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</si>
  <si>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</si>
  <si>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</si>
  <si>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</si>
  <si>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</si>
  <si>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</si>
  <si>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</si>
  <si>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</si>
  <si>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</si>
  <si>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</si>
  <si>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</si>
  <si>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</si>
  <si>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</si>
  <si>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</si>
  <si>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</si>
  <si>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</si>
  <si>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</si>
  <si>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</si>
  <si>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</si>
  <si>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</si>
  <si>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</si>
  <si>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</si>
  <si>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</si>
  <si>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</si>
  <si>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</si>
  <si>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</si>
  <si>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</si>
  <si>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</si>
  <si>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</si>
  <si>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</si>
  <si>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</si>
  <si>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</si>
  <si>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</si>
  <si>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</si>
  <si>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</si>
  <si>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</si>
  <si>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</si>
  <si>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</si>
  <si>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</si>
  <si>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</si>
  <si>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</si>
  <si>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</si>
  <si>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</si>
  <si>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</si>
  <si>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</si>
  <si>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</si>
  <si>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</si>
  <si>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</si>
  <si>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</si>
  <si>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</si>
  <si>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</si>
  <si>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</si>
  <si>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</si>
  <si>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</si>
  <si>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</si>
  <si>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</si>
  <si>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</si>
  <si>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</si>
  <si>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</si>
  <si>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</si>
  <si>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</si>
  <si>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</si>
  <si>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</si>
  <si>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</si>
  <si>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</si>
  <si>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</si>
  <si>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</si>
  <si>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</si>
  <si>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</si>
  <si>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</si>
  <si>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</si>
  <si>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</si>
  <si>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</si>
  <si>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</si>
  <si>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</si>
  <si>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</si>
  <si>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</si>
  <si>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</si>
  <si>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</si>
  <si>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</si>
  <si>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</si>
  <si>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</si>
  <si>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</si>
  <si>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</si>
  <si>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</si>
  <si>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</si>
  <si>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</si>
  <si>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</si>
  <si>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</si>
  <si>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</si>
  <si>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</si>
  <si>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</si>
  <si>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</si>
  <si>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</si>
  <si>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</si>
  <si>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</si>
  <si>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</si>
  <si>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</si>
  <si>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</si>
  <si>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</si>
  <si>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</si>
  <si>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</si>
  <si>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</si>
  <si>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</si>
  <si>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</si>
  <si>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</si>
  <si>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</si>
  <si>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</si>
  <si>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</si>
  <si>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</si>
  <si>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</si>
  <si>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</si>
  <si>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</si>
  <si>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</si>
  <si>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</si>
  <si>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</si>
  <si>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</si>
  <si>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</si>
  <si>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</si>
  <si>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</si>
  <si>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</si>
  <si>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</si>
  <si>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</si>
  <si>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</si>
  <si>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</si>
  <si>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</si>
  <si>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</si>
  <si>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</si>
  <si>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</si>
  <si>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</si>
  <si>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</si>
  <si>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</si>
  <si>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</si>
  <si>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</si>
  <si>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</si>
  <si>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</si>
  <si>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</si>
  <si>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</si>
  <si>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</si>
  <si>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</si>
  <si>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</si>
  <si>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</si>
  <si>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</si>
  <si>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</si>
  <si>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</si>
  <si>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</si>
  <si>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</si>
  <si>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</si>
  <si>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</si>
  <si>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</si>
  <si>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</si>
  <si>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</si>
  <si>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</si>
  <si>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</si>
  <si>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</si>
  <si>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</si>
  <si>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</si>
  <si>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</si>
  <si>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</si>
  <si>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</si>
  <si>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</si>
  <si>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</si>
  <si>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</si>
  <si>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</si>
  <si>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</si>
  <si>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</si>
  <si>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</si>
  <si>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</si>
  <si>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</si>
  <si>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</si>
  <si>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</si>
  <si>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</si>
  <si>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</si>
  <si>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</si>
  <si>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</si>
  <si>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</si>
  <si>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</si>
  <si>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</si>
  <si>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</si>
  <si>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</si>
  <si>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</si>
  <si>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</si>
  <si>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</si>
  <si>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</si>
  <si>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</si>
  <si>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</si>
  <si>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</si>
  <si>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</si>
  <si>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</si>
  <si>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</si>
  <si>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</si>
  <si>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</si>
  <si>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</si>
  <si>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</si>
  <si>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</si>
  <si>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</si>
  <si>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</si>
  <si>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</si>
  <si>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</si>
  <si>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</si>
  <si>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</si>
  <si>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</si>
  <si>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</si>
  <si>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</si>
  <si>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</si>
  <si>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</si>
  <si>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</si>
  <si>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</si>
  <si>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</si>
  <si>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</si>
  <si>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</si>
  <si>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</si>
  <si>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</si>
  <si>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</si>
  <si>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</si>
  <si>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</si>
  <si>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</si>
  <si>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</si>
  <si>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</si>
  <si>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</si>
  <si>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</si>
  <si>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</si>
  <si>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</si>
  <si>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</si>
  <si>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</si>
  <si>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</si>
  <si>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</si>
  <si>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</si>
  <si>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</si>
  <si>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</si>
  <si>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</si>
  <si>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</si>
  <si>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</si>
  <si>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</si>
  <si>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</si>
  <si>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</si>
  <si>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</si>
  <si>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</si>
  <si>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</si>
  <si>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</si>
  <si>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</si>
  <si>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</si>
  <si>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</si>
  <si>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</si>
  <si>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</si>
  <si>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</si>
  <si>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</si>
  <si>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</si>
  <si>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</si>
  <si>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</si>
  <si>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</si>
  <si>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</si>
  <si>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</si>
  <si>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</si>
  <si>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</si>
  <si>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</si>
  <si>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</si>
  <si>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</si>
  <si>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</si>
  <si>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</si>
  <si>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</si>
  <si>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</si>
  <si>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</si>
  <si>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</si>
  <si>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</si>
  <si>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</si>
  <si>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</si>
  <si>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</si>
  <si>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</si>
  <si>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</si>
  <si>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</si>
  <si>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</si>
  <si>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</si>
  <si>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</si>
  <si>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</si>
  <si>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</si>
  <si>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</si>
  <si>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</si>
  <si>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</si>
  <si>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</si>
  <si>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</si>
  <si>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</si>
  <si>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</si>
  <si>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</si>
  <si>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</si>
  <si>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</si>
  <si>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</si>
  <si>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</si>
  <si>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</si>
  <si>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</si>
  <si>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</si>
  <si>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</si>
  <si>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</si>
  <si>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</si>
  <si>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</si>
  <si>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</si>
  <si>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</si>
  <si>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</si>
  <si>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</si>
  <si>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</si>
  <si>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</si>
  <si>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</si>
  <si>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</si>
  <si>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</si>
  <si>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</si>
  <si>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</si>
  <si>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</si>
  <si>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</si>
  <si>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</si>
  <si>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</si>
  <si>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</si>
  <si>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</si>
  <si>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</si>
  <si>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</si>
  <si>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</si>
  <si>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</si>
  <si>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</si>
  <si>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</si>
  <si>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</si>
  <si>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</si>
  <si>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</si>
  <si>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</si>
  <si>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</si>
  <si>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</si>
  <si>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</si>
  <si>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</si>
  <si>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</si>
  <si>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</si>
  <si>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</si>
  <si>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</si>
  <si>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</si>
  <si>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</si>
  <si>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</si>
  <si>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</si>
  <si>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</si>
  <si>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</si>
  <si>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</si>
  <si>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</si>
  <si>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</si>
  <si>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</si>
  <si>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</si>
  <si>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</si>
  <si>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</si>
  <si>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</si>
  <si>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</si>
  <si>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</si>
  <si>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</si>
  <si>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</si>
  <si>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</si>
  <si>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</si>
  <si>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</si>
  <si>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</si>
  <si>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</si>
  <si>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</si>
  <si>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</si>
  <si>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</si>
  <si>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</si>
  <si>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</si>
  <si>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</si>
  <si>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</si>
  <si>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</si>
  <si>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</si>
  <si>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</si>
  <si>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</si>
  <si>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</si>
  <si>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</si>
  <si>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</si>
  <si>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</si>
  <si>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</si>
  <si>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</si>
  <si>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</si>
  <si>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</si>
  <si>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</si>
  <si>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</si>
  <si>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</si>
  <si>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</si>
  <si>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</si>
  <si>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</si>
  <si>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</si>
  <si>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</si>
  <si>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</si>
  <si>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</si>
  <si>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</si>
  <si>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</si>
  <si>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</si>
  <si>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</si>
  <si>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</si>
  <si>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</si>
  <si>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</si>
  <si>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</si>
  <si>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</si>
  <si>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</si>
  <si>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</si>
  <si>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</si>
  <si>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</si>
  <si>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</si>
  <si>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</si>
  <si>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</si>
  <si>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</si>
  <si>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</si>
  <si>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</si>
  <si>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</si>
  <si>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</si>
  <si>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</si>
  <si>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</si>
  <si>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</si>
  <si>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</si>
  <si>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</si>
  <si>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</si>
  <si>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</si>
  <si>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</si>
  <si>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</si>
  <si>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</si>
  <si>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</si>
  <si>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</si>
  <si>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</si>
  <si>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</si>
  <si>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</si>
  <si>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</si>
  <si>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</si>
  <si>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</si>
  <si>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</si>
  <si>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</si>
  <si>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</si>
  <si>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</si>
  <si>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</si>
  <si>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</si>
  <si>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</si>
  <si>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</si>
  <si>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</si>
  <si>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</si>
  <si>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</si>
  <si>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</si>
  <si>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</si>
  <si>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</si>
  <si>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</si>
  <si>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</si>
  <si>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</si>
  <si>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</si>
  <si>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</si>
  <si>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</si>
  <si>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</si>
  <si>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</si>
  <si>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</si>
  <si>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</si>
  <si>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</si>
  <si>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</si>
  <si>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</si>
  <si>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</si>
  <si>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</si>
  <si>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</si>
  <si>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</si>
  <si>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</si>
  <si>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</si>
  <si>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</si>
  <si>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</si>
  <si>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</si>
  <si>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</si>
  <si>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</si>
  <si>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</si>
  <si>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</si>
  <si>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</si>
  <si>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</si>
  <si>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</si>
  <si>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</si>
  <si>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</si>
  <si>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</si>
  <si>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</si>
  <si>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</si>
  <si>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</si>
  <si>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</si>
  <si>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</si>
  <si>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</si>
  <si>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</si>
  <si>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</si>
  <si>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</si>
  <si>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</si>
  <si>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</si>
  <si>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</si>
  <si>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</si>
  <si>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</si>
  <si>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</si>
  <si>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</si>
  <si>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</si>
  <si>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</si>
  <si>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</si>
  <si>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</si>
  <si>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</si>
  <si>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</si>
  <si>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</si>
  <si>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</si>
  <si>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</si>
  <si>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</si>
  <si>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</si>
  <si>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</si>
  <si>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</si>
  <si>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</si>
  <si>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</si>
  <si>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</si>
  <si>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</si>
  <si>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</si>
  <si>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</si>
  <si>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</si>
  <si>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</si>
  <si>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</si>
  <si>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</si>
  <si>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</si>
  <si>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</si>
  <si>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</si>
  <si>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</si>
  <si>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</si>
  <si>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</si>
  <si>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</si>
  <si>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</si>
  <si>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</si>
  <si>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</si>
  <si>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</si>
  <si>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</si>
  <si>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</si>
  <si>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</si>
  <si>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</si>
  <si>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</si>
  <si>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</si>
  <si>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</si>
  <si>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</si>
  <si>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</si>
  <si>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</si>
  <si>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</si>
  <si>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</si>
  <si>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</si>
  <si>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</si>
  <si>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</si>
  <si>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</si>
  <si>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</si>
  <si>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</si>
  <si>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</si>
  <si>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</si>
  <si>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</si>
  <si>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</si>
  <si>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</si>
  <si>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</si>
  <si>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</si>
  <si>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</si>
  <si>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</si>
  <si>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</si>
  <si>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</si>
  <si>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</si>
  <si>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</si>
  <si>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</si>
  <si>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</si>
  <si>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</si>
  <si>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</si>
  <si>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</si>
  <si>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</si>
  <si>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</si>
  <si>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</si>
  <si>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</si>
  <si>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</si>
  <si>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</si>
  <si>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</si>
  <si>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</si>
  <si>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</si>
  <si>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</si>
  <si>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</si>
  <si>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</si>
  <si>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</si>
  <si>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</si>
  <si>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</si>
  <si>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</si>
  <si>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</si>
  <si>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</si>
  <si>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</si>
  <si>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</si>
  <si>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</si>
  <si>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</si>
  <si>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</si>
  <si>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</si>
  <si>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</si>
  <si>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</si>
  <si>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</si>
  <si>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</si>
  <si>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</si>
  <si>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</si>
  <si>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</si>
  <si>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</si>
  <si>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</si>
  <si>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</si>
  <si>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</si>
  <si>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</si>
  <si>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</si>
  <si>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</si>
  <si>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</si>
  <si>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</si>
  <si>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</si>
  <si>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</si>
  <si>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</si>
  <si>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</si>
  <si>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</si>
  <si>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</si>
  <si>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</si>
  <si>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</si>
  <si>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</si>
  <si>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</si>
  <si>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</si>
  <si>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</si>
  <si>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</si>
  <si>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</si>
  <si>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</si>
  <si>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</si>
  <si>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</si>
  <si>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</si>
  <si>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</si>
  <si>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</si>
  <si>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</si>
  <si>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</si>
  <si>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</si>
  <si>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</si>
  <si>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</si>
  <si>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</si>
  <si>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</si>
  <si>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</si>
  <si>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</si>
  <si>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</si>
  <si>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</si>
  <si>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</si>
  <si>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</si>
  <si>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</si>
  <si>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</si>
  <si>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</si>
  <si>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</si>
  <si>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</si>
  <si>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</si>
  <si>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</si>
  <si>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</si>
  <si>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</si>
  <si>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</si>
  <si>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</si>
  <si>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</si>
  <si>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</si>
  <si>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</si>
  <si>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</si>
  <si>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</si>
  <si>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</si>
  <si>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</si>
  <si>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</si>
  <si>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</si>
  <si>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</si>
  <si>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</si>
  <si>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</si>
  <si>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</si>
  <si>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</si>
  <si>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</si>
  <si>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</si>
  <si>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</si>
  <si>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</si>
  <si>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</si>
  <si>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</si>
  <si>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</si>
  <si>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</si>
  <si>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</si>
  <si>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</si>
  <si>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</si>
  <si>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</si>
  <si>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</si>
  <si>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</si>
  <si>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</si>
  <si>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</si>
  <si>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</si>
  <si>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</si>
  <si>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</si>
  <si>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</si>
  <si>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</si>
  <si>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</si>
  <si>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</si>
  <si>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</si>
  <si>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</si>
  <si>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</si>
  <si>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</si>
  <si>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</si>
  <si>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</si>
  <si>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</si>
  <si>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</si>
  <si>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</si>
  <si>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</si>
  <si>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</si>
  <si>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</si>
  <si>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</si>
  <si>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</si>
  <si>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</si>
  <si>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</si>
  <si>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</si>
  <si>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</si>
  <si>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</si>
  <si>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</si>
  <si>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</si>
  <si>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</si>
  <si>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</si>
  <si>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</si>
  <si>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</si>
  <si>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</si>
  <si>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</si>
  <si>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</si>
  <si>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</si>
  <si>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</si>
  <si>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</si>
  <si>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</si>
  <si>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</si>
  <si>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</si>
  <si>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</si>
  <si>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</si>
  <si>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</si>
  <si>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</si>
  <si>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</si>
  <si>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</si>
  <si>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</si>
  <si>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</si>
  <si>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</si>
  <si>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</si>
  <si>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</si>
  <si>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</si>
  <si>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</si>
  <si>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</si>
  <si>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</si>
  <si>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</si>
  <si>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</si>
  <si>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</si>
  <si>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</si>
  <si>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</si>
  <si>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</si>
  <si>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</si>
  <si>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</si>
  <si>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</si>
  <si>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</si>
  <si>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</si>
  <si>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</si>
  <si>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</si>
  <si>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</si>
  <si>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</si>
  <si>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</si>
  <si>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</si>
  <si>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</si>
  <si>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</si>
  <si>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</si>
  <si>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</si>
  <si>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</si>
  <si>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</si>
  <si>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</si>
  <si>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</si>
  <si>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</si>
  <si>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</si>
  <si>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</si>
  <si>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</si>
  <si>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</si>
  <si>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</si>
  <si>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</si>
  <si>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</si>
  <si>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</si>
  <si>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</si>
  <si>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</si>
  <si>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</si>
  <si>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</si>
  <si>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</si>
  <si>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</si>
  <si>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</si>
  <si>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</si>
  <si>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</si>
  <si>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</si>
  <si>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</si>
  <si>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</si>
  <si>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</si>
  <si>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</si>
  <si>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</si>
  <si>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</si>
  <si>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</si>
  <si>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</si>
  <si>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</si>
  <si>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</si>
  <si>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</si>
  <si>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</si>
  <si>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</si>
  <si>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</si>
  <si>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</si>
  <si>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</si>
  <si>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</si>
  <si>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</si>
  <si>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</si>
  <si>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</si>
  <si>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</si>
  <si>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</si>
  <si>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</si>
  <si>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</si>
  <si>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</si>
  <si>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</si>
  <si>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</si>
  <si>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</si>
  <si>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</si>
  <si>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</si>
  <si>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</si>
  <si>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</si>
  <si>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</si>
  <si>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</si>
  <si>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</si>
  <si>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</si>
  <si>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</si>
  <si>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</si>
  <si>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</si>
  <si>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</si>
  <si>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</si>
  <si>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</si>
  <si>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</si>
  <si>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</si>
  <si>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</si>
  <si>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</si>
  <si>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</si>
  <si>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</si>
  <si>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</si>
  <si>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</si>
  <si>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</si>
  <si>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</si>
  <si>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</si>
  <si>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</si>
  <si>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</si>
  <si>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</si>
  <si>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</si>
  <si>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</si>
  <si>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</si>
  <si>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</si>
  <si>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</si>
  <si>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</si>
  <si>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</si>
  <si>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</si>
  <si>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</si>
  <si>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</si>
  <si>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</si>
  <si>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</si>
  <si>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</si>
  <si>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</si>
  <si>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</si>
  <si>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</si>
  <si>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</si>
  <si>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</si>
  <si>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</si>
  <si>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</si>
  <si>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</si>
  <si>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</si>
  <si>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</si>
  <si>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</si>
  <si>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</si>
  <si>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</si>
  <si>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</si>
  <si>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</si>
  <si>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</si>
  <si>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</si>
  <si>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</si>
  <si>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</si>
  <si>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</si>
  <si>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</si>
  <si>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</si>
  <si>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</si>
  <si>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</si>
  <si>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</si>
  <si>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</si>
  <si>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</si>
  <si>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</si>
  <si>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</si>
  <si>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</si>
  <si>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</si>
  <si>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</si>
  <si>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</si>
  <si>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</si>
  <si>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</si>
  <si>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</si>
  <si>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</si>
  <si>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</si>
  <si>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</si>
  <si>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</si>
  <si>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</si>
  <si>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</si>
  <si>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</si>
  <si>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</si>
  <si>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</si>
  <si>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</si>
  <si>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</si>
  <si>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</si>
  <si>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</si>
  <si>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</si>
  <si>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</si>
  <si>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</si>
  <si>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</si>
  <si>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</si>
  <si>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</si>
  <si>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</si>
  <si>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</si>
  <si>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</si>
  <si>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</si>
  <si>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</si>
  <si>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</si>
  <si>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</si>
  <si>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</si>
  <si>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</si>
  <si>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</si>
  <si>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</si>
  <si>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</si>
  <si>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</si>
  <si>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</si>
  <si>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</si>
  <si>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</si>
  <si>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</si>
  <si>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</si>
  <si>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</si>
  <si>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</si>
  <si>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</si>
  <si>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</si>
  <si>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</si>
  <si>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</si>
  <si>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</si>
  <si>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</si>
  <si>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</si>
  <si>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</si>
  <si>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</si>
  <si>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</si>
  <si>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</si>
  <si>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</si>
  <si>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</si>
  <si>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</si>
  <si>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</si>
  <si>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</si>
  <si>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</si>
  <si>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</si>
  <si>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</si>
  <si>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</si>
  <si>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</si>
  <si>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</si>
  <si>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</si>
  <si>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</si>
  <si>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</si>
  <si>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</si>
  <si>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</si>
  <si>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</si>
  <si>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</si>
  <si>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</si>
  <si>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</si>
  <si>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</si>
  <si>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</si>
  <si>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</si>
  <si>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</si>
  <si>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</si>
  <si>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</si>
  <si>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</si>
  <si>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</si>
  <si>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</si>
  <si>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</si>
  <si>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</si>
  <si>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</si>
  <si>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</si>
  <si>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</si>
  <si>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</si>
  <si>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</si>
  <si>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</si>
  <si>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</si>
  <si>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</si>
  <si>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</si>
  <si>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</si>
  <si>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</si>
  <si>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</si>
  <si>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</si>
  <si>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</si>
  <si>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</si>
  <si>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</si>
  <si>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</si>
  <si>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</si>
  <si>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</si>
  <si>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</si>
  <si>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</si>
  <si>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</si>
  <si>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</si>
  <si>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</si>
  <si>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</si>
  <si>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</si>
  <si>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</si>
  <si>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</si>
  <si>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</si>
  <si>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</si>
  <si>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</si>
  <si>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</si>
  <si>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</si>
  <si>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</si>
  <si>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</si>
  <si>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</si>
  <si>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</si>
  <si>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</si>
  <si>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</si>
  <si>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</si>
  <si>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</si>
  <si>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</si>
  <si>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</si>
  <si>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</si>
  <si>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</si>
  <si>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</si>
  <si>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</si>
  <si>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</si>
  <si>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</si>
  <si>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</si>
  <si>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</si>
  <si>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</si>
  <si>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</si>
  <si>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</si>
  <si>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</si>
  <si>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</si>
  <si>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</si>
  <si>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</si>
  <si>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</si>
  <si>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</si>
  <si>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</si>
  <si>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</si>
  <si>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</si>
  <si>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</si>
  <si>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</si>
  <si>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</si>
  <si>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</si>
  <si>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</si>
  <si>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</si>
  <si>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</si>
  <si>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</si>
  <si>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</si>
  <si>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</si>
  <si>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</si>
  <si>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</si>
  <si>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</si>
  <si>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</si>
  <si>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</si>
  <si>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</si>
  <si>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</si>
  <si>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</si>
  <si>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</si>
  <si>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</si>
  <si>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</si>
  <si>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</si>
  <si>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</si>
  <si>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</si>
  <si>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</si>
  <si>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</si>
  <si>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</si>
  <si>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</si>
  <si>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</si>
  <si>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</si>
  <si>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</si>
  <si>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</si>
  <si>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</si>
  <si>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</si>
  <si>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</si>
  <si>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</si>
  <si>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</si>
  <si>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</si>
  <si>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</si>
  <si>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</si>
  <si>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</si>
  <si>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</si>
  <si>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</si>
  <si>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</si>
  <si>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</si>
  <si>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</si>
  <si>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</si>
  <si>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</si>
  <si>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</si>
  <si>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</si>
  <si>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</si>
  <si>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</si>
  <si>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</si>
  <si>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</si>
  <si>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</si>
  <si>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</si>
  <si>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</si>
  <si>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</si>
  <si>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</si>
  <si>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</si>
  <si>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</si>
  <si>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</si>
  <si>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</si>
  <si>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</si>
  <si>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</si>
  <si>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</si>
  <si>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</si>
  <si>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</si>
  <si>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</si>
  <si>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</si>
  <si>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</si>
  <si>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</si>
  <si>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</si>
  <si>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</si>
  <si>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</si>
  <si>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</si>
  <si>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</si>
  <si>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</si>
  <si>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</si>
  <si>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</si>
  <si>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</si>
  <si>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</si>
  <si>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</si>
  <si>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</si>
  <si>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</si>
  <si>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</si>
  <si>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</si>
  <si>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</si>
  <si>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</si>
  <si>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</si>
  <si>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</si>
  <si>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</si>
  <si>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</si>
  <si>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</si>
  <si>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</si>
  <si>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</si>
  <si>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</si>
  <si>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</si>
  <si>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</si>
  <si>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</si>
  <si>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</si>
  <si>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</si>
  <si>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</si>
  <si>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</si>
  <si>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</si>
  <si>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</si>
  <si>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</si>
  <si>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</si>
  <si>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</si>
  <si>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</si>
  <si>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</si>
  <si>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</si>
  <si>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</si>
  <si>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</si>
  <si>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</si>
  <si>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</si>
  <si>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</si>
  <si>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</si>
  <si>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</si>
  <si>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</si>
  <si>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</si>
  <si>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</si>
  <si>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</si>
  <si>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</si>
  <si>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</si>
  <si>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</si>
  <si>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</si>
  <si>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</si>
  <si>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</si>
  <si>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</si>
  <si>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</si>
  <si>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</si>
  <si>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</si>
  <si>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</si>
  <si>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</si>
  <si>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</si>
  <si>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</si>
  <si>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</si>
  <si>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</si>
  <si>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</si>
  <si>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</si>
  <si>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</si>
  <si>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</si>
  <si>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</si>
  <si>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</si>
  <si>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</si>
  <si>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</si>
  <si>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</si>
  <si>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</si>
  <si>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</si>
  <si>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</si>
  <si>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</si>
  <si>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</si>
  <si>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</si>
  <si>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</si>
  <si>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</si>
  <si>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</si>
  <si>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</si>
  <si>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</si>
  <si>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</si>
  <si>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</si>
  <si>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</si>
  <si>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</si>
  <si>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</si>
  <si>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</si>
  <si>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</si>
  <si>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</si>
  <si>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</si>
  <si>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</si>
  <si>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</si>
  <si>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</si>
  <si>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</si>
  <si>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</si>
  <si>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</si>
  <si>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</si>
  <si>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</si>
  <si>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</si>
  <si>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</si>
  <si>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</si>
  <si>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</si>
  <si>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</si>
  <si>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</si>
  <si>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</si>
  <si>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</si>
  <si>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</si>
  <si>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</si>
  <si>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</si>
  <si>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</si>
  <si>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</si>
  <si>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</si>
  <si>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</si>
  <si>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</si>
  <si>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</si>
  <si>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</si>
  <si>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</si>
  <si>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</si>
  <si>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</si>
  <si>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</si>
  <si>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</si>
  <si>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</si>
  <si>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</si>
  <si>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</si>
  <si>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</si>
  <si>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</si>
  <si>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</si>
  <si>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</si>
  <si>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</si>
  <si>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</si>
  <si>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</si>
  <si>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</si>
  <si>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</si>
  <si>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</si>
  <si>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</si>
  <si>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</si>
  <si>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</si>
  <si>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</si>
  <si>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</si>
  <si>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</si>
  <si>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</si>
  <si>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</si>
  <si>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</si>
  <si>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</si>
  <si>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</si>
  <si>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</si>
  <si>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</si>
  <si>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</si>
  <si>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</si>
  <si>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</si>
  <si>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</si>
  <si>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</si>
  <si>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</si>
  <si>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</si>
  <si>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</si>
  <si>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</si>
  <si>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</si>
  <si>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</si>
  <si>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</si>
  <si>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</si>
  <si>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</si>
  <si>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</si>
  <si>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</si>
  <si>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</si>
  <si>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</si>
  <si>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</si>
  <si>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</si>
  <si>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</si>
  <si>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</si>
  <si>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</si>
  <si>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</si>
  <si>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</si>
  <si>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</si>
  <si>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</si>
  <si>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</si>
  <si>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</si>
  <si>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</si>
  <si>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</si>
  <si>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</si>
  <si>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</si>
  <si>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</si>
  <si>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</si>
  <si>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</si>
  <si>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</si>
  <si>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</si>
  <si>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</si>
  <si>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</si>
  <si>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</si>
  <si>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</si>
  <si>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</si>
  <si>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</si>
  <si>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</si>
  <si>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</si>
  <si>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</si>
  <si>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</si>
  <si>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</si>
  <si>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</si>
  <si>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</si>
  <si>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</si>
  <si>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</si>
  <si>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</si>
  <si>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</si>
  <si>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</si>
  <si>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</si>
  <si>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</si>
  <si>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</si>
  <si>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</si>
  <si>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</si>
  <si>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</si>
  <si>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</si>
  <si>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</si>
  <si>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</si>
  <si>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</si>
  <si>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</si>
  <si>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</si>
  <si>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</si>
  <si>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</si>
  <si>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</si>
  <si>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</si>
  <si>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</si>
  <si>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</si>
  <si>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</si>
  <si>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</si>
  <si>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</si>
  <si>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</si>
  <si>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</si>
  <si>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</si>
  <si>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</si>
  <si>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</si>
  <si>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</si>
  <si>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</si>
  <si>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</si>
  <si>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</si>
  <si>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</si>
  <si>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</si>
  <si>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</si>
  <si>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</si>
  <si>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</si>
  <si>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</si>
  <si>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</si>
  <si>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</si>
  <si>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</si>
  <si>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</si>
  <si>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</si>
  <si>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</si>
  <si>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</si>
  <si>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</si>
  <si>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</si>
  <si>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</si>
  <si>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</si>
  <si>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</si>
  <si>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</si>
  <si>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</si>
  <si>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</si>
  <si>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</si>
  <si>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</si>
  <si>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</si>
  <si>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</si>
  <si>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</si>
  <si>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</si>
  <si>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</si>
  <si>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</si>
  <si>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</si>
  <si>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</si>
  <si>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</si>
  <si>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</si>
  <si>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</si>
  <si>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</si>
  <si>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</si>
  <si>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</si>
  <si>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</si>
  <si>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</si>
  <si>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</si>
  <si>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</si>
  <si>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</si>
  <si>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</si>
  <si>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</si>
  <si>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</si>
  <si>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</si>
  <si>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</si>
  <si>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</si>
  <si>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</si>
  <si>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</si>
  <si>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</si>
  <si>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</si>
  <si>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</si>
  <si>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</si>
  <si>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</si>
  <si>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</si>
  <si>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</si>
  <si>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</si>
  <si>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</si>
  <si>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</si>
  <si>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</si>
  <si>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</si>
  <si>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</si>
  <si>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</si>
  <si>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</si>
  <si>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</si>
  <si>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</si>
  <si>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</si>
  <si>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</si>
  <si>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</si>
  <si>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</si>
  <si>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</si>
  <si>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</si>
  <si>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</si>
  <si>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</si>
  <si>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</si>
  <si>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</si>
  <si>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</si>
  <si>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</si>
  <si>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</si>
  <si>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</si>
  <si>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</si>
  <si>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</si>
  <si>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</si>
  <si>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</si>
  <si>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</si>
  <si>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</si>
  <si>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</si>
  <si>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</si>
  <si>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</si>
  <si>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</si>
  <si>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</si>
  <si>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</si>
  <si>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</si>
  <si>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</si>
  <si>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</si>
  <si>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</si>
  <si>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</si>
  <si>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</si>
  <si>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</si>
  <si>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</si>
  <si>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</si>
  <si>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</si>
  <si>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</si>
  <si>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</si>
  <si>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</si>
  <si>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</si>
  <si>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</si>
  <si>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</si>
  <si>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</si>
  <si>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</si>
  <si>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</si>
  <si>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</si>
  <si>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</si>
  <si>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</si>
  <si>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</si>
  <si>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</si>
  <si>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</si>
  <si>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</si>
  <si>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</si>
  <si>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</si>
  <si>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</si>
  <si>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</si>
  <si>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</si>
  <si>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</si>
  <si>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</si>
  <si>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</si>
  <si>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</si>
  <si>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</si>
  <si>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</si>
  <si>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</si>
  <si>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</si>
  <si>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</si>
  <si>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</si>
  <si>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</si>
  <si>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</si>
  <si>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</si>
  <si>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</si>
  <si>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</si>
  <si>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</si>
  <si>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</si>
  <si>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</si>
  <si>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</si>
  <si>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</si>
  <si>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</si>
  <si>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</si>
  <si>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</si>
  <si>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</si>
  <si>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</si>
  <si>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</si>
  <si>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</si>
  <si>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</si>
  <si>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</si>
  <si>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</si>
  <si>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</si>
  <si>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</si>
  <si>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</si>
  <si>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</si>
  <si>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</si>
  <si>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</si>
  <si>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</si>
  <si>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</si>
  <si>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</si>
  <si>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</si>
  <si>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</si>
  <si>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</si>
  <si>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</si>
  <si>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</si>
  <si>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</si>
  <si>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</si>
  <si>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</si>
  <si>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</si>
  <si>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</si>
  <si>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</si>
  <si>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</si>
  <si>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</si>
  <si>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</si>
  <si>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</si>
  <si>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</si>
  <si>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</si>
  <si>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</si>
  <si>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</si>
  <si>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</si>
  <si>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</si>
  <si>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</si>
  <si>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</si>
  <si>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</si>
  <si>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</si>
  <si>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</si>
  <si>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</si>
  <si>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</si>
  <si>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</si>
  <si>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</si>
  <si>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</si>
  <si>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</si>
  <si>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</si>
  <si>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</si>
  <si>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</si>
  <si>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</si>
  <si>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</si>
  <si>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</si>
  <si>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</si>
  <si>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</si>
  <si>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</si>
  <si>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</si>
  <si>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</si>
  <si>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</si>
  <si>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</si>
  <si>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</si>
  <si>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</si>
  <si>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</si>
  <si>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</si>
  <si>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</si>
  <si>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</si>
  <si>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</si>
  <si>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</si>
  <si>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</si>
  <si>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</si>
  <si>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</si>
  <si>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</si>
  <si>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</si>
  <si>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</si>
  <si>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</si>
  <si>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</si>
  <si>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</si>
  <si>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</si>
  <si>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</si>
  <si>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</si>
  <si>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</si>
  <si>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</si>
  <si>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</si>
  <si>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</si>
  <si>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</si>
  <si>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</si>
  <si>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</si>
  <si>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</si>
  <si>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</si>
  <si>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</si>
  <si>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</si>
  <si>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</si>
  <si>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</si>
  <si>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</si>
  <si>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</si>
  <si>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</si>
  <si>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</si>
  <si>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</si>
  <si>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</si>
  <si>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</si>
  <si>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</si>
  <si>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</si>
  <si>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</si>
  <si>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</si>
  <si>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</si>
  <si>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</si>
  <si>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</si>
  <si>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</si>
  <si>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</si>
  <si>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</si>
  <si>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</si>
  <si>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</si>
  <si>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</si>
  <si>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</si>
  <si>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</si>
  <si>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</si>
  <si>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</si>
  <si>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</si>
  <si>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</si>
  <si>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</si>
  <si>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</si>
  <si>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</si>
  <si>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</si>
  <si>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</si>
  <si>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</si>
  <si>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</si>
  <si>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</si>
  <si>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</si>
  <si>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</si>
  <si>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</si>
  <si>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</si>
  <si>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</si>
  <si>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</si>
  <si>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</si>
  <si>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</si>
  <si>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</si>
  <si>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</si>
  <si>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</si>
  <si>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</si>
  <si>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</si>
  <si>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</si>
  <si>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</si>
  <si>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</si>
  <si>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</si>
  <si>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</si>
  <si>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</si>
  <si>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</si>
  <si>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</si>
  <si>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</si>
  <si>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</si>
  <si>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</si>
  <si>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</si>
  <si>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</si>
  <si>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</si>
  <si>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</si>
  <si>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</si>
  <si>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</si>
  <si>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</si>
  <si>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</si>
  <si>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</si>
  <si>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</si>
  <si>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</si>
  <si>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</si>
  <si>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</si>
  <si>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</si>
  <si>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</si>
  <si>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</si>
  <si>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</si>
  <si>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</si>
  <si>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</si>
  <si>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</si>
  <si>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</si>
  <si>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</si>
  <si>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</si>
  <si>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</si>
  <si>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</si>
  <si>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</si>
  <si>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</si>
  <si>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</si>
  <si>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</si>
  <si>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</si>
  <si>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</si>
  <si>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</si>
  <si>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</si>
  <si>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</si>
  <si>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</si>
  <si>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</si>
  <si>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</si>
  <si>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</si>
  <si>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</si>
  <si>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</si>
  <si>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</si>
  <si>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</si>
  <si>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</si>
  <si>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</si>
  <si>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</si>
  <si>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</si>
  <si>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</si>
  <si>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</si>
  <si>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</si>
  <si>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</si>
  <si>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</si>
  <si>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</si>
  <si>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</si>
  <si>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</si>
  <si>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</si>
  <si>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</si>
  <si>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</si>
  <si>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</si>
  <si>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</si>
  <si>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</si>
  <si>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</si>
  <si>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</si>
  <si>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</si>
  <si>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</si>
  <si>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</si>
  <si>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</si>
  <si>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</si>
  <si>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</si>
  <si>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</si>
  <si>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</si>
  <si>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</si>
  <si>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</si>
  <si>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</si>
  <si>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</si>
  <si>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</si>
  <si>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</si>
  <si>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</si>
  <si>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</si>
  <si>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</si>
  <si>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</si>
  <si>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</si>
  <si>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</si>
  <si>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</si>
  <si>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</si>
  <si>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</si>
  <si>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</si>
  <si>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</si>
  <si>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</si>
  <si>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</si>
  <si>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</si>
  <si>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</si>
  <si>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</si>
  <si>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</si>
  <si>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</si>
  <si>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</si>
  <si>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</si>
  <si>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</si>
  <si>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</si>
  <si>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</si>
  <si>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</si>
  <si>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</si>
  <si>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</si>
  <si>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</si>
  <si>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</si>
  <si>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</si>
  <si>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</si>
  <si>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</si>
  <si>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</si>
  <si>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</si>
  <si>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</si>
  <si>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</si>
  <si>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</si>
  <si>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</si>
  <si>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</si>
  <si>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</si>
  <si>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</si>
  <si>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</si>
  <si>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</si>
  <si>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</si>
  <si>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</si>
  <si>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</si>
  <si>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</si>
  <si>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</si>
  <si>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</si>
  <si>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</si>
  <si>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</si>
  <si>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</si>
  <si>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</si>
  <si>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</si>
  <si>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</si>
  <si>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</si>
  <si>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</si>
  <si>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</si>
  <si>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</si>
  <si>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</si>
  <si>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</si>
  <si>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</si>
  <si>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</si>
  <si>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</si>
  <si>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</si>
  <si>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</si>
  <si>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</si>
  <si>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</si>
  <si>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</si>
  <si>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</si>
  <si>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</si>
  <si>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</si>
  <si>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</si>
  <si>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</si>
  <si>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</si>
  <si>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</si>
  <si>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</si>
  <si>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</si>
  <si>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</si>
  <si>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</si>
  <si>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</si>
  <si>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</si>
  <si>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</si>
  <si>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</si>
  <si>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</si>
  <si>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</si>
  <si>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</si>
  <si>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</si>
  <si>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</si>
  <si>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</si>
  <si>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</si>
  <si>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</si>
  <si>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</si>
  <si>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</si>
  <si>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</si>
  <si>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</si>
  <si>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</si>
  <si>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</si>
  <si>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</si>
  <si>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</si>
  <si>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</si>
  <si>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</si>
  <si>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</si>
  <si>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</si>
  <si>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</si>
  <si>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</si>
  <si>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</si>
  <si>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</si>
  <si>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</si>
  <si>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</si>
  <si>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</si>
  <si>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</si>
  <si>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</si>
  <si>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</si>
  <si>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</si>
  <si>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</si>
  <si>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</si>
  <si>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</si>
  <si>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</si>
  <si>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</si>
  <si>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</si>
  <si>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</si>
  <si>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</si>
  <si>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</si>
  <si>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</si>
  <si>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</si>
  <si>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</si>
  <si>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</si>
  <si>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</si>
  <si>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</si>
  <si>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</si>
  <si>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</si>
  <si>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</si>
  <si>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</si>
  <si>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</si>
  <si>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</si>
  <si>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</si>
  <si>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</si>
  <si>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</si>
  <si>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</si>
  <si>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</si>
  <si>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</si>
  <si>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</si>
  <si>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</si>
  <si>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</si>
  <si>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</si>
  <si>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</si>
  <si>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</si>
  <si>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</si>
  <si>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</si>
  <si>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</si>
  <si>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</si>
  <si>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</si>
  <si>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</si>
  <si>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</si>
  <si>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</si>
  <si>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</si>
  <si>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</si>
  <si>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</si>
  <si>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</si>
  <si>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</si>
  <si>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</si>
  <si>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</si>
  <si>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</si>
  <si>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</si>
  <si>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</si>
  <si>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</si>
  <si>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</si>
  <si>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</si>
  <si>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</si>
  <si>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</si>
  <si>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</si>
  <si>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</si>
  <si>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</si>
  <si>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</si>
  <si>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</si>
  <si>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</si>
  <si>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</si>
  <si>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</si>
  <si>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</si>
  <si>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</si>
  <si>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</si>
  <si>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</si>
  <si>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</si>
  <si>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</si>
  <si>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</si>
  <si>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</si>
  <si>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</si>
  <si>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</si>
  <si>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</si>
  <si>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</si>
  <si>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</si>
  <si>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</si>
  <si>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</si>
  <si>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</si>
  <si>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</si>
  <si>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</si>
  <si>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</si>
  <si>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</si>
  <si>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</si>
  <si>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</si>
  <si>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</si>
  <si>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</si>
  <si>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</si>
  <si>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</si>
  <si>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</si>
  <si>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</si>
  <si>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</si>
  <si>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</si>
  <si>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</si>
  <si>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</si>
  <si>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</si>
  <si>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</si>
  <si>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</si>
  <si>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</si>
  <si>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</si>
  <si>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</si>
  <si>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</si>
  <si>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</si>
  <si>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</si>
  <si>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</si>
  <si>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</si>
  <si>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</si>
  <si>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</si>
  <si>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</si>
  <si>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</si>
  <si>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</si>
  <si>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</si>
  <si>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</si>
  <si>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</si>
  <si>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</si>
  <si>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</si>
  <si>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</si>
  <si>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</si>
  <si>
    <t xml:space="preserve">La Cueva del Consumidero del Río Guaire. El Encantado, Estado Miranda, Venezuela. </t>
  </si>
  <si>
    <t xml:space="preserve">Thomas Carroll Wilson (1906 – 1969). La vida de un geólogo pionero y sus exploraciones en Venezuela y Colombia. </t>
  </si>
  <si>
    <t>Boletín de la Academia Nacional de la Ingeniería y el Hábitat, Caracas, Número 66, pp. 80 – 101, Enero – Marzo 2025</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</si>
  <si>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</si>
  <si>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</si>
  <si>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</si>
  <si>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</si>
  <si>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</si>
  <si>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</si>
  <si>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</si>
  <si>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</si>
  <si>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</si>
  <si>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</si>
  <si>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</si>
  <si>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</si>
  <si>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</si>
  <si>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</si>
  <si>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</si>
  <si>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</si>
  <si>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</si>
  <si>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https://mariantoc.github.io/Notas-Geologicas-2025/speleology.html#UrbaniF1997</t>
  </si>
  <si>
    <t>https://mariantoc.github.io/Notas-Geologicas-2025/biography.html#CasasJE2025</t>
  </si>
  <si>
    <t>https://mariantoc.github.io/Notas-Geologicas-2025/stratigraphy.html#DiGianiN2000</t>
  </si>
  <si>
    <t>https://mariantoc.github.io/Notas-Geologicas-2025/ecology.html#RomeroA1990</t>
  </si>
  <si>
    <t>https://mariantoc.github.io/Notas-Geologicas-2025/biography.html#AlvarezF1952</t>
  </si>
  <si>
    <t>https://mariantoc.github.io/Notas-Geologicas-2025/stratigraphy.html#MachadoAetal1992</t>
  </si>
  <si>
    <t>https://mariantoc.github.io/Notas-Geologicas-2025/stratigraphy.html#VillainJMetal1993</t>
  </si>
  <si>
    <t>https://mariantoc.github.io/Notas-Geologicas-2025/biography.html#UrbaniF1997</t>
  </si>
  <si>
    <t>https://mariantoc.github.io/Notas-Geologicas-2025/ecology.html#RamosS1990</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</si>
  <si>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</si>
  <si>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</si>
  <si>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</si>
  <si>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</si>
  <si>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</si>
  <si>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</si>
  <si>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</si>
  <si>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</si>
  <si>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</si>
  <si>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</si>
  <si>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</si>
  <si>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</si>
  <si>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</si>
  <si>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https://mariantoc.github.io/Notas-Geologicas-2025/minerals.html#NunezEAetal2024</t>
  </si>
  <si>
    <t>https://mariantoc.github.io/Notas-Geologicas-2025/stratigraphy.html#SalgadoML1979</t>
  </si>
  <si>
    <t>https://mariantoc.github.io/Notas-Geologicas-2025/maps.html#SchererW1964</t>
  </si>
  <si>
    <t>https://mariantoc.github.io/Notas-Geologicas-2025/ecology.html#CesariC1993</t>
  </si>
  <si>
    <t>https://mariantoc.github.io/Notas-Geologicas-2025/stratigraphy.html#SwansonRG1981</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</si>
  <si>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</si>
  <si>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</si>
  <si>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</si>
  <si>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</si>
  <si>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</si>
  <si>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</si>
  <si>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</si>
  <si>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</si>
  <si>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</si>
  <si>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</si>
  <si>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</si>
  <si>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</si>
  <si>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</si>
  <si>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</si>
  <si>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</si>
  <si>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</si>
  <si>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https://mariantoc.github.io/Notas-Geologicas-2025/biography.html#CasasJE2024</t>
  </si>
  <si>
    <t>https://mariantoc.github.io/Notas-Geologicas-2025/stratigraphy.html#BaqueroMetal2006</t>
  </si>
  <si>
    <t>https://mariantoc.github.io/Notas-Geologicas-2025/ecology.html#WeissMPGoddardDA1974</t>
  </si>
  <si>
    <t>https://mariantoc.github.io/Notas-Geologicas-2025/stratigraphy.html#HunterVFBartokP1974</t>
  </si>
  <si>
    <t>https://mariantoc.github.io/Notas-Geologicas-2025/stratigraphy.html#SinanogluE1986</t>
  </si>
  <si>
    <t>https://mariantoc.github.io/Notas-Geologicas-2025/biography.html#RodriguezG1952</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</si>
  <si>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</si>
  <si>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</si>
  <si>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</si>
  <si>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</si>
  <si>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</si>
  <si>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</si>
  <si>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</si>
  <si>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</si>
  <si>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</si>
  <si>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</si>
  <si>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</si>
  <si>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</si>
  <si>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</si>
  <si>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</si>
  <si>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</si>
  <si>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</si>
  <si>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</si>
  <si>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https://mariantoc.github.io/Notas-Geologicas-2025/stratigraphy.html#BolliHBermudezPJ1965</t>
  </si>
  <si>
    <t>https://mariantoc.github.io/Notas-Geologicas-2025/stratigraphy.html#SalgadoML1980</t>
  </si>
  <si>
    <t>https://mariantoc.github.io/Notas-Geologicas-2025/stratigraphy.html#SanchezJDetal2006</t>
  </si>
  <si>
    <t>https://mariantoc.github.io/Notas-Geologicas-2025/ecology.html#FernandezF1993</t>
  </si>
  <si>
    <t>https://mariantoc.github.io/Notas-Geologicas-2025/biography.html#ClevelandWB1952</t>
  </si>
  <si>
    <t>https://mariantoc.github.io/Notas-Geologicas-2025/biography.html#ComiteInterfilial1997</t>
  </si>
  <si>
    <t>https://mariantoc.github.io/Notas-Geologicas-2025/excursions.html#BPPDVSAWorkshop1992</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</si>
  <si>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</si>
  <si>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</si>
  <si>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</si>
  <si>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</si>
  <si>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</si>
  <si>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</si>
  <si>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</si>
  <si>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</si>
  <si>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</si>
  <si>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</si>
  <si>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</si>
  <si>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</si>
  <si>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</si>
  <si>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</si>
  <si>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</si>
  <si>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</si>
  <si>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</si>
  <si>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https://mariantoc.github.io/Notas-Geologicas-2025/biography.html#RodriguezJA2025</t>
  </si>
  <si>
    <t>https://mariantoc.github.io/Notas-Geologicas-2025/ecology.html#LambertB1988</t>
  </si>
  <si>
    <t>https://mariantoc.github.io/Notas-Geologicas-2025/ecology.html#BigioLAetal1993</t>
  </si>
  <si>
    <t>https://mariantoc.github.io/Notas-Geologicas-2025/stratigraphy.html#UribeA1981</t>
  </si>
  <si>
    <t>https://mariantoc.github.io/Notas-Geologicas-2025/biography.html#Recopilacion2023</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</si>
  <si>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</si>
  <si>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</si>
  <si>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</si>
  <si>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</si>
  <si>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</si>
  <si>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</si>
  <si>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</si>
  <si>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</si>
  <si>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</si>
  <si>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</si>
  <si>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</si>
  <si>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</si>
  <si>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https://mariantoc.github.io/Notas-Geologicas-2025/biography.html#UrbaniF2023</t>
  </si>
  <si>
    <t>https://mariantoc.github.io/Notas-Geologicas-2025/biography.html#BitterliP1998</t>
  </si>
  <si>
    <t>https://mariantoc.github.io/Notas-Geologicas-2025/geochemistry.html#Erlichetal2000</t>
  </si>
  <si>
    <t>https://mariantoc.github.io/Notas-Geologicas-2025/igneous.html#DeAbrisquetaAetal2011</t>
  </si>
  <si>
    <t>https://mariantoc.github.io/Notas-Geologicas-2025/ecology.html#Carta1982</t>
  </si>
  <si>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</si>
  <si>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</si>
  <si>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</si>
  <si>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</si>
  <si>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</si>
  <si>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</si>
  <si>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</si>
  <si>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</si>
  <si>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</si>
  <si>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</si>
  <si>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</si>
  <si>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</si>
  <si>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https://mariantoc.github.io/Notas-Geologicas-2025/biography.html#Pioneros1997</t>
  </si>
  <si>
    <t>https://mariantoc.github.io/Notas-Geologicas-2025/biography.html#RodriguezJA2025f</t>
  </si>
  <si>
    <t>https://mariantoc.github.io/Notas-Geologicas-2025/glaciers.html#FortunaICeballosA2016</t>
  </si>
  <si>
    <t>https://mariantoc.github.io/Notas-Geologicas-2025/stratigraphy.html#Petersonetal2000</t>
  </si>
  <si>
    <t>https://mariantoc.github.io/Notas-Geologicas-2025/geochemistry.html#BricenoHCallejonA2000</t>
  </si>
  <si>
    <t>Manual de foraminíferos de la Cuenca de Maracaibo.</t>
  </si>
  <si>
    <t xml:space="preserve">Angel N. Fuenmayor </t>
  </si>
  <si>
    <t xml:space="preserve">Arboles emblemáticos de Venezuela. </t>
  </si>
  <si>
    <t xml:space="preserve">Jesús Hoyos F. </t>
  </si>
  <si>
    <t>Carta Ecológica de Lagoven S.A., Edición Especial dedicada a la Semana de la Conservación, Sociedad Ciencias Naturales La Salle, 1982</t>
  </si>
  <si>
    <t>Maraven S.A., División de Operaciones de Producción, Gerencia de Ingeniería de Petróleo, Gerencia de Geología, Maracaibo, Octubre de 1989</t>
  </si>
  <si>
    <t xml:space="preserve">Situación actual y perspectivas de la industria de los minerales no metálicos en Venezuela. </t>
  </si>
  <si>
    <t>IX Congreso Venezolano de Ingeniería, Maracaibo, Estado Zulia, Mayo 1974</t>
  </si>
  <si>
    <t>Boletín de Historia de Las Geociencias en Venezuela, Número 90, pp. 3 – 14, Febrero 2004</t>
  </si>
  <si>
    <t xml:space="preserve">XVI Century salt production by aborigines in Quibor, Venezuela. </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</si>
  <si>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</si>
  <si>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</si>
  <si>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</si>
  <si>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</si>
  <si>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</si>
  <si>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</si>
  <si>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</si>
  <si>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https://mariantoc.github.io/Notas-Geologicas-2025/stratigraphy.html#FuenmayorA1989</t>
  </si>
  <si>
    <t>https://mariantoc.github.io/Notas-Geologicas-2025/ecology.html#HoyosJ1982</t>
  </si>
  <si>
    <t>https://mariantoc.github.io/Notas-Geologicas-2025/minerals.html#RodriguezSE1974</t>
  </si>
  <si>
    <t>https://mariantoc.github.io/Notas-Geologicas-2025/minerals.html#UrbaniF2004</t>
  </si>
  <si>
    <t>https://mariantoc.github.io/Notas-Geologicas-2025/biography.html#CGV2001</t>
  </si>
  <si>
    <t>https://mariantoc.github.io/Notas-Geologicas-2025/structural.html#SchubertC1983</t>
  </si>
  <si>
    <t>https://mariantoc.github.io/Notas-Geologicas-2025/stratigraphy.html#PerazaT2002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</si>
  <si>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</si>
  <si>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</si>
  <si>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</si>
  <si>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</si>
  <si>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</si>
  <si>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</si>
  <si>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</si>
  <si>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</si>
  <si>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</si>
  <si>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</si>
  <si>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</si>
  <si>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</si>
  <si>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</si>
  <si>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</si>
  <si>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</si>
  <si>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</si>
  <si>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</si>
  <si>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https://mariantoc.github.io/Notas-Geologicas-2025/minerals.html#SifontesRS2001</t>
  </si>
  <si>
    <t>https://mariantoc.github.io/Notas-Geologicas-2025/stratigraphy.html#MoodyJMMaiseyJG1994</t>
  </si>
  <si>
    <t>https://mariantoc.github.io/Notas-Geologicas-2025/stratigraphy.html#PerazaT2002a</t>
  </si>
  <si>
    <t>https://mariantoc.github.io/Notas-Geologicas-2025/stratigraphy.html#CastroM1989</t>
  </si>
  <si>
    <t>https://mariantoc.github.io/Notas-Geologicas-2025/biography.html#NieschulzE</t>
  </si>
  <si>
    <t>https://mariantoc.github.io/Notas-Geologicas-2025/stratigraphy.html#SavainVSchererW1997</t>
  </si>
  <si>
    <t>Boletín de Historia de las Geociencias en Venezuela, Número 57, pp1 – 17, Abril 1996</t>
  </si>
  <si>
    <t>https://mariantoc.github.io/Notas-Geologicas-2025/biography.html#UrbaniF1996</t>
  </si>
  <si>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</si>
  <si>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</si>
  <si>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</si>
  <si>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</si>
  <si>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</si>
  <si>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</si>
  <si>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</si>
  <si>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</si>
  <si>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</si>
  <si>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</si>
  <si>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</si>
  <si>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</si>
  <si>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</si>
  <si>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</si>
  <si>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</si>
  <si>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</si>
  <si>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</si>
  <si>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</si>
  <si>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</si>
  <si>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https://mariantoc.github.io/Notas-Geologicas-2025/biography.html#JuszcykKRzenik202S6</t>
  </si>
  <si>
    <t>https://mariantoc.github.io/Notas-Geologicas-2025/fields.html#SugarE1954</t>
  </si>
  <si>
    <t>https://mariantoc.github.io/Notas-Geologicas-2025/minerals.html#ZosayaD1972</t>
  </si>
  <si>
    <t>https://mariantoc.github.io/Notas-Geologicas-2025/stratigraphy.html#GameroG1973</t>
  </si>
  <si>
    <t>https://mariantoc.github.io/Notas-Geologicas-2025/biography.html#RodriguezJA2023</t>
  </si>
  <si>
    <t>https://mariantoc.github.io/Notas-Geologicas-2025/stratigraphy.html#MacsotayO1971</t>
  </si>
  <si>
    <t>https://mariantoc.github.io/Notas-Geologicas-2025/ecology.html#JacomeJC1987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</si>
</sst>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mariantoc.github.io/Notas-Geologicas-2025/fields.html" TargetMode="External"/><Relationship Id="rId7" Type="http://schemas.openxmlformats.org/officeDocument/2006/relationships/hyperlink" Target="https://mariantoc.github.io/Notas-Geologicas-2025/ecology.html" TargetMode="External"/><Relationship Id="rId2" Type="http://schemas.openxmlformats.org/officeDocument/2006/relationships/hyperlink" Target="https://mariantoc.github.io/Notas-Geologicas-2025/biography.html" TargetMode="External"/><Relationship Id="rId1" Type="http://schemas.openxmlformats.org/officeDocument/2006/relationships/hyperlink" Target="https://mariantoc.github.io/Notas-Geologicas-2025/stratigraphy.html" TargetMode="External"/><Relationship Id="rId6" Type="http://schemas.openxmlformats.org/officeDocument/2006/relationships/hyperlink" Target="https://mariantoc.github.io/Notas-Geologicas-2025/stratigraphy.html" TargetMode="External"/><Relationship Id="rId5" Type="http://schemas.openxmlformats.org/officeDocument/2006/relationships/hyperlink" Target="https://mariantoc.github.io/Notas-Geologicas-2025/biography.html" TargetMode="External"/><Relationship Id="rId4" Type="http://schemas.openxmlformats.org/officeDocument/2006/relationships/hyperlink" Target="https://mariantoc.github.io/Notas-Geologicas-2025/mineral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70"/>
  <sheetViews>
    <sheetView tabSelected="1" topLeftCell="A1151" zoomScaleNormal="100" workbookViewId="0">
      <selection activeCell="A1164" sqref="A1164"/>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127.109375" bestFit="1"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3931</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3932</v>
      </c>
      <c r="C1076" t="s">
        <v>3933</v>
      </c>
      <c r="D1076">
        <v>2024</v>
      </c>
      <c r="E1076" t="s">
        <v>3934</v>
      </c>
      <c r="F1076" t="s">
        <v>3951</v>
      </c>
      <c r="G1076" s="3" t="str">
        <f t="shared" si="32"/>
        <v>https://mariantoc.github.io/Notas-Geologicas-2025/ecology.html#FernandezMetal2024</v>
      </c>
    </row>
    <row r="1077" spans="1:7" x14ac:dyDescent="0.3">
      <c r="A1077">
        <f t="shared" si="33"/>
        <v>1076</v>
      </c>
      <c r="B1077" t="s">
        <v>3935</v>
      </c>
      <c r="C1077" t="s">
        <v>3936</v>
      </c>
      <c r="D1077">
        <v>2024</v>
      </c>
      <c r="E1077" t="s">
        <v>3934</v>
      </c>
      <c r="F1077" t="s">
        <v>3952</v>
      </c>
      <c r="G1077" s="3" t="str">
        <f t="shared" si="32"/>
        <v>https://mariantoc.github.io/Notas-Geologicas-2025/biography.html#JaimesA2024</v>
      </c>
    </row>
    <row r="1078" spans="1:7" x14ac:dyDescent="0.3">
      <c r="A1078">
        <f t="shared" si="33"/>
        <v>1077</v>
      </c>
      <c r="B1078" t="s">
        <v>3937</v>
      </c>
      <c r="C1078" t="s">
        <v>3938</v>
      </c>
      <c r="D1078">
        <v>2006</v>
      </c>
      <c r="E1078" t="s">
        <v>151</v>
      </c>
      <c r="F1078" t="s">
        <v>3953</v>
      </c>
      <c r="G1078" s="3" t="str">
        <f t="shared" si="32"/>
        <v>https://mariantoc.github.io/Notas-Geologicas-2025/stratigraphy.html#GonzalezSetal2006</v>
      </c>
    </row>
    <row r="1079" spans="1:7" x14ac:dyDescent="0.3">
      <c r="A1079">
        <f t="shared" si="33"/>
        <v>1078</v>
      </c>
      <c r="B1079" t="s">
        <v>3939</v>
      </c>
      <c r="C1079" t="s">
        <v>3940</v>
      </c>
      <c r="D1079">
        <v>1995</v>
      </c>
      <c r="E1079" t="s">
        <v>3941</v>
      </c>
      <c r="F1079" t="s">
        <v>3954</v>
      </c>
      <c r="G1079" s="3" t="str">
        <f t="shared" si="32"/>
        <v>https://mariantoc.github.io/Notas-Geologicas-2025/stratigraphy.html#CruxJColmenareso1995</v>
      </c>
    </row>
    <row r="1080" spans="1:7" x14ac:dyDescent="0.3">
      <c r="A1080">
        <f t="shared" si="33"/>
        <v>1079</v>
      </c>
      <c r="B1080" t="s">
        <v>3942</v>
      </c>
      <c r="C1080" t="s">
        <v>3943</v>
      </c>
      <c r="D1080">
        <v>1990</v>
      </c>
      <c r="E1080" t="s">
        <v>3944</v>
      </c>
      <c r="F1080" t="s">
        <v>3955</v>
      </c>
      <c r="G1080" s="3" t="str">
        <f t="shared" si="32"/>
        <v>https://mariantoc.github.io/Notas-Geologicas-2025/biography.html#MendozaL1990</v>
      </c>
    </row>
    <row r="1081" spans="1:7" x14ac:dyDescent="0.3">
      <c r="A1081">
        <f t="shared" si="33"/>
        <v>1080</v>
      </c>
      <c r="B1081" t="s">
        <v>3945</v>
      </c>
      <c r="C1081" t="s">
        <v>3946</v>
      </c>
      <c r="D1081">
        <v>1975</v>
      </c>
      <c r="E1081" t="s">
        <v>3947</v>
      </c>
      <c r="F1081" t="s">
        <v>3956</v>
      </c>
      <c r="G1081" s="3" t="str">
        <f t="shared" si="32"/>
        <v>https://mariantoc.github.io/Notas-Geologicas-2025/fields.html#MorenoF1975</v>
      </c>
    </row>
    <row r="1082" spans="1:7" x14ac:dyDescent="0.3">
      <c r="A1082">
        <f t="shared" si="33"/>
        <v>1081</v>
      </c>
      <c r="B1082" t="s">
        <v>3948</v>
      </c>
      <c r="C1082" t="s">
        <v>3949</v>
      </c>
      <c r="D1082">
        <v>1992</v>
      </c>
      <c r="E1082" t="s">
        <v>3950</v>
      </c>
      <c r="F1082" t="s">
        <v>3957</v>
      </c>
      <c r="G1082" s="3" t="str">
        <f t="shared" si="32"/>
        <v>https://mariantoc.github.io/Notas-Geologicas-2025/stratigraphy.html#GiffuniGetal1992</v>
      </c>
    </row>
    <row r="1083" spans="1:7" x14ac:dyDescent="0.3">
      <c r="A1083">
        <f t="shared" si="33"/>
        <v>1082</v>
      </c>
      <c r="B1083" t="s">
        <v>3958</v>
      </c>
      <c r="C1083" t="s">
        <v>22</v>
      </c>
      <c r="D1083">
        <v>2025</v>
      </c>
      <c r="E1083" t="s">
        <v>3959</v>
      </c>
      <c r="F1083" t="s">
        <v>3982</v>
      </c>
      <c r="G1083" s="3" t="str">
        <f t="shared" si="32"/>
        <v>https://mariantoc.github.io/Notas-Geologicas-2025/topics.html#CastroM2025</v>
      </c>
    </row>
    <row r="1084" spans="1:7" x14ac:dyDescent="0.3">
      <c r="A1084">
        <f t="shared" si="33"/>
        <v>1083</v>
      </c>
      <c r="B1084" t="s">
        <v>3960</v>
      </c>
      <c r="C1084" t="s">
        <v>3961</v>
      </c>
      <c r="D1084">
        <v>2016</v>
      </c>
      <c r="E1084" t="s">
        <v>3962</v>
      </c>
      <c r="F1084" t="s">
        <v>3976</v>
      </c>
      <c r="G1084" s="3" t="str">
        <f t="shared" si="32"/>
        <v>https://mariantoc.github.io/Notas-Geologicas-2025/biography.html#CaputoCetal2016</v>
      </c>
    </row>
    <row r="1085" spans="1:7" x14ac:dyDescent="0.3">
      <c r="A1085">
        <f t="shared" si="33"/>
        <v>1084</v>
      </c>
      <c r="B1085" t="s">
        <v>3963</v>
      </c>
      <c r="C1085" t="s">
        <v>3964</v>
      </c>
      <c r="D1085">
        <v>2025</v>
      </c>
      <c r="E1085" t="s">
        <v>3818</v>
      </c>
      <c r="F1085" t="s">
        <v>3977</v>
      </c>
      <c r="G1085" s="3" t="str">
        <f t="shared" si="32"/>
        <v>https://mariantoc.github.io/Notas-Geologicas-2025/topics.html#ProstG2025</v>
      </c>
    </row>
    <row r="1086" spans="1:7" x14ac:dyDescent="0.3">
      <c r="A1086">
        <f t="shared" si="33"/>
        <v>1085</v>
      </c>
      <c r="B1086" t="s">
        <v>3965</v>
      </c>
      <c r="C1086" t="s">
        <v>3966</v>
      </c>
      <c r="D1086">
        <v>1998</v>
      </c>
      <c r="E1086" t="s">
        <v>3967</v>
      </c>
      <c r="F1086" t="s">
        <v>3978</v>
      </c>
      <c r="G1086" s="3" t="str">
        <f t="shared" si="32"/>
        <v>https://mariantoc.github.io/Notas-Geologicas-2025/stratigraphy.html#FlorentinoA1998</v>
      </c>
    </row>
    <row r="1087" spans="1:7" x14ac:dyDescent="0.3">
      <c r="A1087">
        <f t="shared" si="33"/>
        <v>1086</v>
      </c>
      <c r="B1087" t="s">
        <v>3968</v>
      </c>
      <c r="C1087" t="s">
        <v>3969</v>
      </c>
      <c r="D1087">
        <v>1993</v>
      </c>
      <c r="E1087" t="s">
        <v>3970</v>
      </c>
      <c r="F1087" t="s">
        <v>3979</v>
      </c>
      <c r="G1087" s="3" t="str">
        <f t="shared" si="32"/>
        <v>https://mariantoc.github.io/Notas-Geologicas-2025/ecology.html#RoyeroRNarbaizaI1993</v>
      </c>
    </row>
    <row r="1088" spans="1:7" x14ac:dyDescent="0.3">
      <c r="A1088">
        <f t="shared" si="33"/>
        <v>1087</v>
      </c>
      <c r="B1088" t="s">
        <v>3971</v>
      </c>
      <c r="C1088" t="s">
        <v>3972</v>
      </c>
      <c r="D1088">
        <v>1991</v>
      </c>
      <c r="E1088" t="s">
        <v>3973</v>
      </c>
      <c r="F1088" t="s">
        <v>3980</v>
      </c>
      <c r="G1088" s="3" t="str">
        <f t="shared" si="32"/>
        <v>https://mariantoc.github.io/Notas-Geologicas-2025/stratigraphy.html#GiffuniGDiazL1991</v>
      </c>
    </row>
    <row r="1089" spans="1:7" x14ac:dyDescent="0.3">
      <c r="A1089">
        <f t="shared" si="33"/>
        <v>1088</v>
      </c>
      <c r="B1089" t="s">
        <v>3974</v>
      </c>
      <c r="C1089" t="s">
        <v>3975</v>
      </c>
      <c r="D1089">
        <v>2006</v>
      </c>
      <c r="E1089" t="s">
        <v>151</v>
      </c>
      <c r="F1089" t="s">
        <v>3981</v>
      </c>
      <c r="G1089" s="3" t="str">
        <f t="shared" si="32"/>
        <v>https://mariantoc.github.io/Notas-Geologicas-2025/geophysics.html#BarretoJetal2006</v>
      </c>
    </row>
    <row r="1090" spans="1:7" x14ac:dyDescent="0.3">
      <c r="A1090">
        <f t="shared" si="33"/>
        <v>1089</v>
      </c>
      <c r="B1090" t="s">
        <v>3983</v>
      </c>
      <c r="C1090" t="s">
        <v>3984</v>
      </c>
      <c r="D1090">
        <v>1985</v>
      </c>
      <c r="E1090" t="s">
        <v>3985</v>
      </c>
      <c r="F1090" t="s">
        <v>4002</v>
      </c>
      <c r="G1090" s="3" t="str">
        <f t="shared" si="32"/>
        <v>https://mariantoc.github.io/Notas-Geologicas-2025/stratigraphy.html#BolliH1985a</v>
      </c>
    </row>
    <row r="1091" spans="1:7" x14ac:dyDescent="0.3">
      <c r="A1091">
        <f t="shared" si="33"/>
        <v>1090</v>
      </c>
      <c r="B1091" t="s">
        <v>3986</v>
      </c>
      <c r="C1091" t="s">
        <v>3984</v>
      </c>
      <c r="D1091">
        <v>1985</v>
      </c>
      <c r="E1091" t="s">
        <v>3985</v>
      </c>
      <c r="F1091" t="s">
        <v>4003</v>
      </c>
      <c r="G1091" s="3" t="str">
        <f t="shared" ref="G1091:G1154" si="34">HYPERLINK(F1091)</f>
        <v>https://mariantoc.github.io/Notas-Geologicas-2025/stratigraphy.html#BolliH1985</v>
      </c>
    </row>
    <row r="1092" spans="1:7" x14ac:dyDescent="0.3">
      <c r="A1092">
        <f t="shared" si="33"/>
        <v>1091</v>
      </c>
      <c r="B1092" t="s">
        <v>3987</v>
      </c>
      <c r="C1092" t="s">
        <v>3988</v>
      </c>
      <c r="D1092">
        <v>1971</v>
      </c>
      <c r="E1092" t="s">
        <v>3989</v>
      </c>
      <c r="F1092" t="s">
        <v>4004</v>
      </c>
      <c r="G1092" s="3" t="str">
        <f t="shared" si="34"/>
        <v>https://mariantoc.github.io/Notas-Geologicas-2025/stratigraphy.html#CooperW1971</v>
      </c>
    </row>
    <row r="1093" spans="1:7" x14ac:dyDescent="0.3">
      <c r="A1093">
        <f t="shared" ref="A1093:A1157" si="35">A1092+1</f>
        <v>1092</v>
      </c>
      <c r="B1093" t="s">
        <v>3990</v>
      </c>
      <c r="C1093" t="s">
        <v>3991</v>
      </c>
      <c r="D1093">
        <v>1991</v>
      </c>
      <c r="E1093" t="s">
        <v>3992</v>
      </c>
      <c r="F1093" t="s">
        <v>4005</v>
      </c>
      <c r="G1093" s="3" t="str">
        <f t="shared" si="34"/>
        <v>https://mariantoc.github.io/Notas-Geologicas-2025/ecology.html#TorresMA1991</v>
      </c>
    </row>
    <row r="1094" spans="1:7" x14ac:dyDescent="0.3">
      <c r="A1094">
        <f t="shared" si="35"/>
        <v>1093</v>
      </c>
      <c r="B1094" t="s">
        <v>3993</v>
      </c>
      <c r="C1094" t="s">
        <v>3994</v>
      </c>
      <c r="D1094">
        <v>1986</v>
      </c>
      <c r="E1094" t="s">
        <v>3995</v>
      </c>
      <c r="F1094" t="s">
        <v>4006</v>
      </c>
      <c r="G1094" s="3" t="str">
        <f t="shared" si="34"/>
        <v>https://mariantoc.github.io/Notas-Geologicas-2025/biography.html#NateraB1986</v>
      </c>
    </row>
    <row r="1095" spans="1:7" x14ac:dyDescent="0.3">
      <c r="A1095">
        <f t="shared" si="35"/>
        <v>1094</v>
      </c>
      <c r="B1095" t="s">
        <v>3996</v>
      </c>
      <c r="C1095" t="s">
        <v>3997</v>
      </c>
      <c r="D1095">
        <v>1989</v>
      </c>
      <c r="E1095" t="s">
        <v>3998</v>
      </c>
      <c r="F1095" t="s">
        <v>4007</v>
      </c>
      <c r="G1095" s="3" t="str">
        <f t="shared" si="34"/>
        <v>https://mariantoc.github.io/Notas-Geologicas-2025/stratigraphy.html#YorisF1989</v>
      </c>
    </row>
    <row r="1096" spans="1:7" x14ac:dyDescent="0.3">
      <c r="A1096">
        <f t="shared" si="35"/>
        <v>1095</v>
      </c>
      <c r="B1096" t="s">
        <v>3999</v>
      </c>
      <c r="C1096" t="s">
        <v>4000</v>
      </c>
      <c r="D1096">
        <v>2025</v>
      </c>
      <c r="E1096" t="s">
        <v>4001</v>
      </c>
      <c r="F1096" t="s">
        <v>4008</v>
      </c>
      <c r="G1096" s="3" t="str">
        <f t="shared" si="34"/>
        <v>https://mariantoc.github.io/Notas-Geologicas-2025/biography.html#MarinoNUrbaniF2025</v>
      </c>
    </row>
    <row r="1097" spans="1:7" x14ac:dyDescent="0.3">
      <c r="A1097">
        <f t="shared" si="35"/>
        <v>1096</v>
      </c>
      <c r="B1097" t="s">
        <v>4009</v>
      </c>
      <c r="C1097" t="s">
        <v>220</v>
      </c>
      <c r="D1097">
        <v>2005</v>
      </c>
      <c r="E1097" t="s">
        <v>4010</v>
      </c>
      <c r="F1097" t="s">
        <v>4029</v>
      </c>
      <c r="G1097" s="3" t="str">
        <f t="shared" si="34"/>
        <v>https://mariantoc.github.io/Notas-Geologicas-2025/speleology.html#UrbaniF2005</v>
      </c>
    </row>
    <row r="1098" spans="1:7" x14ac:dyDescent="0.3">
      <c r="A1098">
        <f t="shared" si="35"/>
        <v>1097</v>
      </c>
      <c r="B1098" t="s">
        <v>4011</v>
      </c>
      <c r="C1098" t="s">
        <v>4012</v>
      </c>
      <c r="D1098">
        <v>1997</v>
      </c>
      <c r="E1098" t="s">
        <v>4013</v>
      </c>
      <c r="F1098" t="s">
        <v>4030</v>
      </c>
      <c r="G1098" s="3" t="str">
        <f t="shared" si="34"/>
        <v>https://mariantoc.github.io/Notas-Geologicas-2025/biography.html#UrbaniFetal1997</v>
      </c>
    </row>
    <row r="1099" spans="1:7" x14ac:dyDescent="0.3">
      <c r="A1099">
        <f t="shared" si="35"/>
        <v>1098</v>
      </c>
      <c r="B1099" t="s">
        <v>4014</v>
      </c>
      <c r="C1099" t="s">
        <v>4015</v>
      </c>
      <c r="D1099">
        <v>1990</v>
      </c>
      <c r="E1099" t="s">
        <v>3859</v>
      </c>
      <c r="F1099" t="s">
        <v>4031</v>
      </c>
      <c r="G1099" s="3" t="str">
        <f t="shared" si="34"/>
        <v>https://mariantoc.github.io/Notas-Geologicas-2025/ecology.html#LezamaF1990</v>
      </c>
    </row>
    <row r="1100" spans="1:7" x14ac:dyDescent="0.3">
      <c r="A1100">
        <f t="shared" si="35"/>
        <v>1099</v>
      </c>
      <c r="B1100" t="s">
        <v>4016</v>
      </c>
      <c r="C1100" t="s">
        <v>4017</v>
      </c>
      <c r="D1100">
        <v>1982</v>
      </c>
      <c r="E1100" t="s">
        <v>4018</v>
      </c>
      <c r="F1100" t="s">
        <v>4032</v>
      </c>
      <c r="G1100" s="3" t="str">
        <f t="shared" si="34"/>
        <v>https://mariantoc.github.io/Notas-Geologicas-2025/stratigraphy.html#LorenteMA1982</v>
      </c>
    </row>
    <row r="1101" spans="1:7" x14ac:dyDescent="0.3">
      <c r="A1101">
        <f t="shared" si="35"/>
        <v>1100</v>
      </c>
      <c r="B1101" t="s">
        <v>4019</v>
      </c>
      <c r="C1101" t="s">
        <v>4020</v>
      </c>
      <c r="D1101">
        <v>2000</v>
      </c>
      <c r="E1101" t="s">
        <v>4021</v>
      </c>
      <c r="F1101" t="s">
        <v>4033</v>
      </c>
      <c r="G1101" s="3" t="str">
        <f t="shared" si="34"/>
        <v>https://mariantoc.github.io/Notas-Geologicas-2025/stratigraphy.html#DuranIetal2000</v>
      </c>
    </row>
    <row r="1102" spans="1:7" x14ac:dyDescent="0.3">
      <c r="A1102">
        <f t="shared" si="35"/>
        <v>1101</v>
      </c>
      <c r="B1102" t="s">
        <v>4022</v>
      </c>
      <c r="C1102" t="s">
        <v>4020</v>
      </c>
      <c r="D1102">
        <v>2003</v>
      </c>
      <c r="E1102" t="s">
        <v>4023</v>
      </c>
      <c r="F1102" t="s">
        <v>4034</v>
      </c>
      <c r="G1102" s="3" t="str">
        <f t="shared" si="34"/>
        <v>https://mariantoc.github.io/Notas-Geologicas-2025/stratigraphy.html#DuranIetal2003</v>
      </c>
    </row>
    <row r="1103" spans="1:7" x14ac:dyDescent="0.3">
      <c r="A1103">
        <f t="shared" si="35"/>
        <v>1102</v>
      </c>
      <c r="B1103" t="s">
        <v>4024</v>
      </c>
      <c r="D1103">
        <v>1990</v>
      </c>
      <c r="E1103" t="s">
        <v>4025</v>
      </c>
      <c r="F1103" t="s">
        <v>4035</v>
      </c>
      <c r="G1103" s="3" t="str">
        <f t="shared" si="34"/>
        <v>https://mariantoc.github.io/Notas-Geologicas-2025/excursions.html#Intevep1990</v>
      </c>
    </row>
    <row r="1104" spans="1:7" x14ac:dyDescent="0.3">
      <c r="A1104">
        <f t="shared" si="35"/>
        <v>1103</v>
      </c>
      <c r="B1104" t="s">
        <v>4026</v>
      </c>
      <c r="C1104" t="s">
        <v>4027</v>
      </c>
      <c r="D1104">
        <v>1997</v>
      </c>
      <c r="E1104" t="s">
        <v>4028</v>
      </c>
      <c r="F1104" t="s">
        <v>4036</v>
      </c>
      <c r="G1104" s="3" t="str">
        <f t="shared" si="34"/>
        <v>https://mariantoc.github.io/Notas-Geologicas-2025/stratigraphy.html#ConcheyroAMostajoE1997</v>
      </c>
    </row>
    <row r="1105" spans="1:7" x14ac:dyDescent="0.3">
      <c r="A1105">
        <f t="shared" si="35"/>
        <v>1104</v>
      </c>
      <c r="B1105" t="s">
        <v>4037</v>
      </c>
      <c r="C1105" t="s">
        <v>2861</v>
      </c>
      <c r="D1105">
        <v>1997</v>
      </c>
      <c r="E1105" t="s">
        <v>4013</v>
      </c>
      <c r="F1105" t="s">
        <v>4057</v>
      </c>
      <c r="G1105" s="3" t="str">
        <f t="shared" si="34"/>
        <v>https://mariantoc.github.io/Notas-Geologicas-2025/speleology.html#UrbaniF1997</v>
      </c>
    </row>
    <row r="1106" spans="1:7" x14ac:dyDescent="0.3">
      <c r="A1106">
        <f t="shared" si="35"/>
        <v>1105</v>
      </c>
      <c r="B1106" t="s">
        <v>4038</v>
      </c>
      <c r="C1106" t="s">
        <v>3306</v>
      </c>
      <c r="D1106">
        <v>2025</v>
      </c>
      <c r="E1106" t="s">
        <v>4039</v>
      </c>
      <c r="F1106" t="s">
        <v>4058</v>
      </c>
      <c r="G1106" s="3" t="str">
        <f t="shared" si="34"/>
        <v>https://mariantoc.github.io/Notas-Geologicas-2025/biography.html#CasasJE2025</v>
      </c>
    </row>
    <row r="1107" spans="1:7" x14ac:dyDescent="0.3">
      <c r="A1107">
        <f t="shared" si="35"/>
        <v>1106</v>
      </c>
      <c r="B1107" t="s">
        <v>4040</v>
      </c>
      <c r="C1107" t="s">
        <v>4041</v>
      </c>
      <c r="D1107">
        <v>2000</v>
      </c>
      <c r="E1107" t="s">
        <v>4042</v>
      </c>
      <c r="F1107" t="s">
        <v>4059</v>
      </c>
      <c r="G1107" s="3" t="str">
        <f t="shared" si="34"/>
        <v>https://mariantoc.github.io/Notas-Geologicas-2025/stratigraphy.html#DiGianiN2000</v>
      </c>
    </row>
    <row r="1108" spans="1:7" x14ac:dyDescent="0.3">
      <c r="A1108">
        <f t="shared" si="35"/>
        <v>1107</v>
      </c>
      <c r="B1108" t="s">
        <v>4043</v>
      </c>
      <c r="C1108" t="s">
        <v>4044</v>
      </c>
      <c r="D1108">
        <v>1990</v>
      </c>
      <c r="E1108" t="s">
        <v>3859</v>
      </c>
      <c r="F1108" t="s">
        <v>4060</v>
      </c>
      <c r="G1108" s="3" t="str">
        <f t="shared" si="34"/>
        <v>https://mariantoc.github.io/Notas-Geologicas-2025/ecology.html#RomeroA1990</v>
      </c>
    </row>
    <row r="1109" spans="1:7" x14ac:dyDescent="0.3">
      <c r="A1109">
        <f t="shared" si="35"/>
        <v>1108</v>
      </c>
      <c r="B1109" t="s">
        <v>4045</v>
      </c>
      <c r="C1109" t="s">
        <v>4046</v>
      </c>
      <c r="D1109">
        <v>1952</v>
      </c>
      <c r="E1109" t="s">
        <v>4047</v>
      </c>
      <c r="F1109" t="s">
        <v>4061</v>
      </c>
      <c r="G1109" s="3" t="str">
        <f t="shared" si="34"/>
        <v>https://mariantoc.github.io/Notas-Geologicas-2025/biography.html#AlvarezF1952</v>
      </c>
    </row>
    <row r="1110" spans="1:7" x14ac:dyDescent="0.3">
      <c r="A1110">
        <f t="shared" si="35"/>
        <v>1109</v>
      </c>
      <c r="B1110" t="s">
        <v>4048</v>
      </c>
      <c r="C1110" t="s">
        <v>4049</v>
      </c>
      <c r="D1110">
        <v>1992</v>
      </c>
      <c r="E1110" t="s">
        <v>4050</v>
      </c>
      <c r="F1110" t="s">
        <v>4062</v>
      </c>
      <c r="G1110" s="3" t="str">
        <f t="shared" si="34"/>
        <v>https://mariantoc.github.io/Notas-Geologicas-2025/stratigraphy.html#MachadoAetal1992</v>
      </c>
    </row>
    <row r="1111" spans="1:7" x14ac:dyDescent="0.3">
      <c r="A1111">
        <f t="shared" si="35"/>
        <v>1110</v>
      </c>
      <c r="B1111" t="s">
        <v>4051</v>
      </c>
      <c r="C1111" t="s">
        <v>4052</v>
      </c>
      <c r="D1111">
        <v>1993</v>
      </c>
      <c r="E1111" t="s">
        <v>4053</v>
      </c>
      <c r="F1111" t="s">
        <v>4063</v>
      </c>
      <c r="G1111" s="3" t="str">
        <f t="shared" si="34"/>
        <v>https://mariantoc.github.io/Notas-Geologicas-2025/stratigraphy.html#VillainJMetal1993</v>
      </c>
    </row>
    <row r="1112" spans="1:7" x14ac:dyDescent="0.3">
      <c r="A1112">
        <f t="shared" si="35"/>
        <v>1111</v>
      </c>
      <c r="B1112" t="s">
        <v>4054</v>
      </c>
      <c r="C1112" t="s">
        <v>2861</v>
      </c>
      <c r="D1112">
        <v>1997</v>
      </c>
      <c r="E1112" t="s">
        <v>4013</v>
      </c>
      <c r="F1112" t="s">
        <v>4064</v>
      </c>
      <c r="G1112" s="3" t="str">
        <f t="shared" si="34"/>
        <v>https://mariantoc.github.io/Notas-Geologicas-2025/biography.html#UrbaniF1997</v>
      </c>
    </row>
    <row r="1113" spans="1:7" x14ac:dyDescent="0.3">
      <c r="A1113">
        <f t="shared" si="35"/>
        <v>1112</v>
      </c>
      <c r="B1113" t="s">
        <v>4055</v>
      </c>
      <c r="C1113" t="s">
        <v>4056</v>
      </c>
      <c r="D1113">
        <v>1990</v>
      </c>
      <c r="E1113" t="s">
        <v>3859</v>
      </c>
      <c r="F1113" t="s">
        <v>4065</v>
      </c>
      <c r="G1113" s="3" t="str">
        <f t="shared" si="34"/>
        <v>https://mariantoc.github.io/Notas-Geologicas-2025/ecology.html#RamosS1990</v>
      </c>
    </row>
    <row r="1114" spans="1:7" x14ac:dyDescent="0.3">
      <c r="A1114">
        <f t="shared" si="35"/>
        <v>1113</v>
      </c>
      <c r="B1114" t="s">
        <v>4066</v>
      </c>
      <c r="C1114" t="s">
        <v>4070</v>
      </c>
      <c r="D1114">
        <v>2024</v>
      </c>
      <c r="E1114" t="s">
        <v>4067</v>
      </c>
      <c r="F1114" t="s">
        <v>4079</v>
      </c>
      <c r="G1114" s="3" t="str">
        <f t="shared" si="34"/>
        <v>https://mariantoc.github.io/Notas-Geologicas-2025/minerals.html#NunezEAetal2024</v>
      </c>
    </row>
    <row r="1115" spans="1:7" x14ac:dyDescent="0.3">
      <c r="A1115">
        <f t="shared" si="35"/>
        <v>1114</v>
      </c>
      <c r="B1115" t="s">
        <v>4068</v>
      </c>
      <c r="C1115" t="s">
        <v>4069</v>
      </c>
      <c r="D1115">
        <v>1979</v>
      </c>
      <c r="E1115" t="s">
        <v>4071</v>
      </c>
      <c r="F1115" t="s">
        <v>4080</v>
      </c>
      <c r="G1115" s="3" t="str">
        <f t="shared" si="34"/>
        <v>https://mariantoc.github.io/Notas-Geologicas-2025/stratigraphy.html#SalgadoML1979</v>
      </c>
    </row>
    <row r="1116" spans="1:7" x14ac:dyDescent="0.3">
      <c r="A1116">
        <f t="shared" si="35"/>
        <v>1115</v>
      </c>
      <c r="B1116" t="s">
        <v>4072</v>
      </c>
      <c r="C1116" t="s">
        <v>746</v>
      </c>
      <c r="D1116">
        <v>1964</v>
      </c>
      <c r="E1116" t="s">
        <v>4073</v>
      </c>
      <c r="F1116" t="s">
        <v>4081</v>
      </c>
      <c r="G1116" s="3" t="str">
        <f t="shared" si="34"/>
        <v>https://mariantoc.github.io/Notas-Geologicas-2025/maps.html#SchererW1964</v>
      </c>
    </row>
    <row r="1117" spans="1:7" x14ac:dyDescent="0.3">
      <c r="A1117">
        <f t="shared" si="35"/>
        <v>1116</v>
      </c>
      <c r="B1117" t="s">
        <v>4074</v>
      </c>
      <c r="C1117" t="s">
        <v>4075</v>
      </c>
      <c r="D1117">
        <v>1993</v>
      </c>
      <c r="E1117" t="s">
        <v>3970</v>
      </c>
      <c r="F1117" t="s">
        <v>4082</v>
      </c>
      <c r="G1117" s="3" t="str">
        <f t="shared" si="34"/>
        <v>https://mariantoc.github.io/Notas-Geologicas-2025/ecology.html#CesariC1993</v>
      </c>
    </row>
    <row r="1118" spans="1:7" x14ac:dyDescent="0.3">
      <c r="A1118">
        <f t="shared" si="35"/>
        <v>1117</v>
      </c>
      <c r="B1118" t="s">
        <v>4076</v>
      </c>
      <c r="C1118" t="s">
        <v>4077</v>
      </c>
      <c r="D1118">
        <v>1981</v>
      </c>
      <c r="E1118" t="s">
        <v>4078</v>
      </c>
      <c r="F1118" t="s">
        <v>4083</v>
      </c>
      <c r="G1118" s="3" t="str">
        <f t="shared" si="34"/>
        <v>https://mariantoc.github.io/Notas-Geologicas-2025/stratigraphy.html#SwansonRG1981</v>
      </c>
    </row>
    <row r="1119" spans="1:7" x14ac:dyDescent="0.3">
      <c r="A1119">
        <f t="shared" si="35"/>
        <v>1118</v>
      </c>
      <c r="B1119" t="s">
        <v>4084</v>
      </c>
      <c r="C1119" t="s">
        <v>127</v>
      </c>
      <c r="D1119">
        <v>2024</v>
      </c>
      <c r="E1119" t="s">
        <v>4085</v>
      </c>
      <c r="F1119" t="s">
        <v>4100</v>
      </c>
      <c r="G1119" s="3" t="str">
        <f t="shared" si="34"/>
        <v>https://mariantoc.github.io/Notas-Geologicas-2025/biography.html#CasasJE2024</v>
      </c>
    </row>
    <row r="1120" spans="1:7" x14ac:dyDescent="0.3">
      <c r="A1120">
        <f t="shared" si="35"/>
        <v>1119</v>
      </c>
      <c r="B1120" t="s">
        <v>4086</v>
      </c>
      <c r="C1120" t="s">
        <v>4087</v>
      </c>
      <c r="D1120">
        <v>2006</v>
      </c>
      <c r="E1120" t="s">
        <v>151</v>
      </c>
      <c r="F1120" t="s">
        <v>4101</v>
      </c>
      <c r="G1120" s="3" t="str">
        <f t="shared" si="34"/>
        <v>https://mariantoc.github.io/Notas-Geologicas-2025/stratigraphy.html#BaqueroMetal2006</v>
      </c>
    </row>
    <row r="1121" spans="1:7" x14ac:dyDescent="0.3">
      <c r="A1121">
        <f t="shared" si="35"/>
        <v>1120</v>
      </c>
      <c r="B1121" t="s">
        <v>4088</v>
      </c>
      <c r="C1121" t="s">
        <v>4089</v>
      </c>
      <c r="D1121">
        <v>1974</v>
      </c>
      <c r="E1121" t="s">
        <v>4090</v>
      </c>
      <c r="F1121" t="s">
        <v>4102</v>
      </c>
      <c r="G1121" s="3" t="str">
        <f t="shared" si="34"/>
        <v>https://mariantoc.github.io/Notas-Geologicas-2025/ecology.html#WeissMPGoddardDA1974</v>
      </c>
    </row>
    <row r="1122" spans="1:7" x14ac:dyDescent="0.3">
      <c r="A1122">
        <f t="shared" si="35"/>
        <v>1121</v>
      </c>
      <c r="B1122" t="s">
        <v>4091</v>
      </c>
      <c r="C1122" t="s">
        <v>4092</v>
      </c>
      <c r="D1122">
        <v>1974</v>
      </c>
      <c r="E1122" t="s">
        <v>4093</v>
      </c>
      <c r="F1122" t="s">
        <v>4103</v>
      </c>
      <c r="G1122" s="3" t="str">
        <f t="shared" si="34"/>
        <v>https://mariantoc.github.io/Notas-Geologicas-2025/stratigraphy.html#HunterVFBartokP1974</v>
      </c>
    </row>
    <row r="1123" spans="1:7" x14ac:dyDescent="0.3">
      <c r="A1123">
        <f t="shared" si="35"/>
        <v>1122</v>
      </c>
      <c r="B1123" t="s">
        <v>4094</v>
      </c>
      <c r="C1123" t="s">
        <v>2599</v>
      </c>
      <c r="D1123">
        <v>2000</v>
      </c>
      <c r="E1123" t="s">
        <v>4095</v>
      </c>
      <c r="F1123" t="s">
        <v>3925</v>
      </c>
      <c r="G1123" s="3" t="str">
        <f t="shared" si="34"/>
        <v>https://mariantoc.github.io/Notas-Geologicas-2025/stratigraphy.html#PerazaT2000</v>
      </c>
    </row>
    <row r="1124" spans="1:7" x14ac:dyDescent="0.3">
      <c r="A1124">
        <f t="shared" si="35"/>
        <v>1123</v>
      </c>
      <c r="B1124" t="s">
        <v>4096</v>
      </c>
      <c r="C1124" t="s">
        <v>2255</v>
      </c>
      <c r="D1124">
        <v>1986</v>
      </c>
      <c r="E1124" t="s">
        <v>4097</v>
      </c>
      <c r="F1124" t="s">
        <v>4104</v>
      </c>
      <c r="G1124" s="3" t="str">
        <f t="shared" si="34"/>
        <v>https://mariantoc.github.io/Notas-Geologicas-2025/stratigraphy.html#SinanogluE1986</v>
      </c>
    </row>
    <row r="1125" spans="1:7" x14ac:dyDescent="0.3">
      <c r="A1125">
        <f t="shared" si="35"/>
        <v>1124</v>
      </c>
      <c r="B1125" t="s">
        <v>4098</v>
      </c>
      <c r="C1125" t="s">
        <v>4099</v>
      </c>
      <c r="D1125">
        <v>1952</v>
      </c>
      <c r="E1125" t="s">
        <v>4047</v>
      </c>
      <c r="F1125" t="s">
        <v>4105</v>
      </c>
      <c r="G1125" s="3" t="str">
        <f t="shared" si="34"/>
        <v>https://mariantoc.github.io/Notas-Geologicas-2025/biography.html#RodriguezG1952</v>
      </c>
    </row>
    <row r="1126" spans="1:7" x14ac:dyDescent="0.3">
      <c r="A1126">
        <f t="shared" si="35"/>
        <v>1125</v>
      </c>
      <c r="B1126" t="s">
        <v>4106</v>
      </c>
      <c r="C1126" t="s">
        <v>4107</v>
      </c>
      <c r="D1126">
        <v>1965</v>
      </c>
      <c r="E1126" t="s">
        <v>4108</v>
      </c>
      <c r="F1126" t="s">
        <v>4123</v>
      </c>
      <c r="G1126" s="3" t="str">
        <f t="shared" si="34"/>
        <v>https://mariantoc.github.io/Notas-Geologicas-2025/stratigraphy.html#BolliHBermudezPJ1965</v>
      </c>
    </row>
    <row r="1127" spans="1:7" x14ac:dyDescent="0.3">
      <c r="A1127">
        <f t="shared" si="35"/>
        <v>1126</v>
      </c>
      <c r="B1127" t="s">
        <v>4109</v>
      </c>
      <c r="C1127" t="s">
        <v>4069</v>
      </c>
      <c r="D1127">
        <v>1980</v>
      </c>
      <c r="E1127" t="s">
        <v>4110</v>
      </c>
      <c r="F1127" t="s">
        <v>4124</v>
      </c>
      <c r="G1127" s="3" t="str">
        <f t="shared" si="34"/>
        <v>https://mariantoc.github.io/Notas-Geologicas-2025/stratigraphy.html#SalgadoML1980</v>
      </c>
    </row>
    <row r="1128" spans="1:7" x14ac:dyDescent="0.3">
      <c r="A1128">
        <f t="shared" si="35"/>
        <v>1127</v>
      </c>
      <c r="B1128" t="s">
        <v>4111</v>
      </c>
      <c r="C1128" t="s">
        <v>4112</v>
      </c>
      <c r="D1128">
        <v>2006</v>
      </c>
      <c r="E1128" t="s">
        <v>171</v>
      </c>
      <c r="F1128" t="s">
        <v>4125</v>
      </c>
      <c r="G1128" s="3" t="str">
        <f t="shared" si="34"/>
        <v>https://mariantoc.github.io/Notas-Geologicas-2025/stratigraphy.html#SanchezJDetal2006</v>
      </c>
    </row>
    <row r="1129" spans="1:7" x14ac:dyDescent="0.3">
      <c r="A1129">
        <f t="shared" si="35"/>
        <v>1128</v>
      </c>
      <c r="B1129" t="s">
        <v>4113</v>
      </c>
      <c r="C1129" t="s">
        <v>4114</v>
      </c>
      <c r="D1129">
        <v>1993</v>
      </c>
      <c r="E1129" t="s">
        <v>4115</v>
      </c>
      <c r="F1129" t="s">
        <v>4126</v>
      </c>
      <c r="G1129" s="3" t="str">
        <f t="shared" si="34"/>
        <v>https://mariantoc.github.io/Notas-Geologicas-2025/ecology.html#FernandezF1993</v>
      </c>
    </row>
    <row r="1130" spans="1:7" x14ac:dyDescent="0.3">
      <c r="A1130">
        <f t="shared" si="35"/>
        <v>1129</v>
      </c>
      <c r="B1130" t="s">
        <v>4116</v>
      </c>
      <c r="C1130" t="s">
        <v>4117</v>
      </c>
      <c r="D1130">
        <v>1952</v>
      </c>
      <c r="E1130" t="s">
        <v>4118</v>
      </c>
      <c r="F1130" t="s">
        <v>4127</v>
      </c>
      <c r="G1130" s="3" t="str">
        <f t="shared" si="34"/>
        <v>https://mariantoc.github.io/Notas-Geologicas-2025/biography.html#ClevelandWB1952</v>
      </c>
    </row>
    <row r="1131" spans="1:7" x14ac:dyDescent="0.3">
      <c r="A1131">
        <f t="shared" si="35"/>
        <v>1130</v>
      </c>
      <c r="B1131" t="s">
        <v>4119</v>
      </c>
      <c r="C1131" t="s">
        <v>4120</v>
      </c>
      <c r="D1131">
        <v>1997</v>
      </c>
      <c r="E1131" t="s">
        <v>4121</v>
      </c>
      <c r="F1131" t="s">
        <v>4128</v>
      </c>
      <c r="G1131" s="3" t="str">
        <f t="shared" si="34"/>
        <v>https://mariantoc.github.io/Notas-Geologicas-2025/biography.html#ComiteInterfilial1997</v>
      </c>
    </row>
    <row r="1132" spans="1:7" x14ac:dyDescent="0.3">
      <c r="A1132">
        <f t="shared" si="35"/>
        <v>1131</v>
      </c>
      <c r="B1132" t="s">
        <v>4122</v>
      </c>
      <c r="D1132">
        <v>1992</v>
      </c>
      <c r="E1132" t="s">
        <v>4130</v>
      </c>
      <c r="F1132" t="s">
        <v>4129</v>
      </c>
      <c r="G1132" s="3" t="str">
        <f t="shared" si="34"/>
        <v>https://mariantoc.github.io/Notas-Geologicas-2025/excursions.html#BPPDVSAWorkshop1992</v>
      </c>
    </row>
    <row r="1133" spans="1:7" x14ac:dyDescent="0.3">
      <c r="A1133">
        <f t="shared" si="35"/>
        <v>1132</v>
      </c>
      <c r="B1133" t="s">
        <v>4131</v>
      </c>
      <c r="C1133" t="s">
        <v>2072</v>
      </c>
      <c r="D1133">
        <v>2025</v>
      </c>
      <c r="E1133" t="s">
        <v>3818</v>
      </c>
      <c r="F1133" t="s">
        <v>4147</v>
      </c>
      <c r="G1133" s="3" t="str">
        <f t="shared" si="34"/>
        <v>https://mariantoc.github.io/Notas-Geologicas-2025/biography.html#RodriguezJA2025</v>
      </c>
    </row>
    <row r="1134" spans="1:7" x14ac:dyDescent="0.3">
      <c r="A1134">
        <f t="shared" si="35"/>
        <v>1133</v>
      </c>
      <c r="B1134" t="s">
        <v>4132</v>
      </c>
      <c r="C1134" t="s">
        <v>4133</v>
      </c>
      <c r="D1134">
        <v>1988</v>
      </c>
      <c r="E1134" t="s">
        <v>4134</v>
      </c>
      <c r="F1134" t="s">
        <v>4148</v>
      </c>
      <c r="G1134" s="3" t="str">
        <f t="shared" si="34"/>
        <v>https://mariantoc.github.io/Notas-Geologicas-2025/ecology.html#LambertB1988</v>
      </c>
    </row>
    <row r="1135" spans="1:7" x14ac:dyDescent="0.3">
      <c r="A1135">
        <f t="shared" si="35"/>
        <v>1134</v>
      </c>
      <c r="B1135" t="s">
        <v>4135</v>
      </c>
      <c r="C1135" t="s">
        <v>4136</v>
      </c>
      <c r="D1135">
        <v>1993</v>
      </c>
      <c r="E1135" t="s">
        <v>4137</v>
      </c>
      <c r="F1135" t="s">
        <v>4149</v>
      </c>
      <c r="G1135" s="3" t="str">
        <f t="shared" si="34"/>
        <v>https://mariantoc.github.io/Notas-Geologicas-2025/ecology.html#BigioLAetal1993</v>
      </c>
    </row>
    <row r="1136" spans="1:7" x14ac:dyDescent="0.3">
      <c r="A1136">
        <f t="shared" si="35"/>
        <v>1135</v>
      </c>
      <c r="B1136" t="s">
        <v>4138</v>
      </c>
      <c r="C1136" t="s">
        <v>4139</v>
      </c>
      <c r="D1136">
        <v>1981</v>
      </c>
      <c r="E1136" t="s">
        <v>4140</v>
      </c>
      <c r="F1136" t="s">
        <v>4150</v>
      </c>
      <c r="G1136" s="3" t="str">
        <f t="shared" si="34"/>
        <v>https://mariantoc.github.io/Notas-Geologicas-2025/stratigraphy.html#UribeA1981</v>
      </c>
    </row>
    <row r="1137" spans="1:7" x14ac:dyDescent="0.3">
      <c r="A1137">
        <f t="shared" si="35"/>
        <v>1136</v>
      </c>
      <c r="B1137" t="s">
        <v>4141</v>
      </c>
      <c r="C1137" t="s">
        <v>4142</v>
      </c>
      <c r="D1137">
        <v>1976</v>
      </c>
      <c r="E1137" t="s">
        <v>4143</v>
      </c>
      <c r="F1137" t="s">
        <v>3898</v>
      </c>
      <c r="G1137" s="3" t="str">
        <f t="shared" si="34"/>
        <v>https://mariantoc.github.io/Notas-Geologicas-2025/stratigraphy.html#SanchezMT1976</v>
      </c>
    </row>
    <row r="1138" spans="1:7" x14ac:dyDescent="0.3">
      <c r="A1138">
        <f t="shared" si="35"/>
        <v>1137</v>
      </c>
      <c r="B1138" t="s">
        <v>4144</v>
      </c>
      <c r="C1138" t="s">
        <v>2599</v>
      </c>
      <c r="D1138">
        <v>2000</v>
      </c>
      <c r="E1138" t="s">
        <v>4145</v>
      </c>
      <c r="F1138" t="s">
        <v>3925</v>
      </c>
      <c r="G1138" s="3" t="str">
        <f t="shared" si="34"/>
        <v>https://mariantoc.github.io/Notas-Geologicas-2025/stratigraphy.html#PerazaT2000</v>
      </c>
    </row>
    <row r="1139" spans="1:7" x14ac:dyDescent="0.3">
      <c r="A1139">
        <f t="shared" si="35"/>
        <v>1138</v>
      </c>
      <c r="B1139" t="s">
        <v>4146</v>
      </c>
      <c r="D1139">
        <v>2023</v>
      </c>
      <c r="E1139" t="s">
        <v>3700</v>
      </c>
      <c r="F1139" t="s">
        <v>4151</v>
      </c>
      <c r="G1139" s="3" t="str">
        <f t="shared" si="34"/>
        <v>https://mariantoc.github.io/Notas-Geologicas-2025/biography.html#Recopilacion2023</v>
      </c>
    </row>
    <row r="1140" spans="1:7" x14ac:dyDescent="0.3">
      <c r="A1140">
        <f t="shared" si="35"/>
        <v>1139</v>
      </c>
      <c r="B1140" t="s">
        <v>4152</v>
      </c>
      <c r="C1140" t="s">
        <v>614</v>
      </c>
      <c r="D1140">
        <v>2023</v>
      </c>
      <c r="E1140" t="s">
        <v>3700</v>
      </c>
      <c r="F1140" t="s">
        <v>4164</v>
      </c>
      <c r="G1140" s="3" t="str">
        <f t="shared" si="34"/>
        <v>https://mariantoc.github.io/Notas-Geologicas-2025/biography.html#UrbaniF2023</v>
      </c>
    </row>
    <row r="1141" spans="1:7" x14ac:dyDescent="0.3">
      <c r="A1141">
        <f t="shared" si="35"/>
        <v>1140</v>
      </c>
      <c r="B1141" t="s">
        <v>4153</v>
      </c>
      <c r="C1141" t="s">
        <v>4154</v>
      </c>
      <c r="D1141">
        <v>1998</v>
      </c>
      <c r="E1141" t="s">
        <v>4155</v>
      </c>
      <c r="F1141" t="s">
        <v>4165</v>
      </c>
      <c r="G1141" s="3" t="str">
        <f t="shared" si="34"/>
        <v>https://mariantoc.github.io/Notas-Geologicas-2025/biography.html#BitterliP1998</v>
      </c>
    </row>
    <row r="1142" spans="1:7" x14ac:dyDescent="0.3">
      <c r="A1142">
        <f t="shared" si="35"/>
        <v>1141</v>
      </c>
      <c r="B1142" t="s">
        <v>4156</v>
      </c>
      <c r="C1142" t="s">
        <v>4157</v>
      </c>
      <c r="D1142">
        <v>2000</v>
      </c>
      <c r="E1142" t="s">
        <v>4158</v>
      </c>
      <c r="F1142" t="s">
        <v>4166</v>
      </c>
      <c r="G1142" s="3" t="str">
        <f t="shared" si="34"/>
        <v>https://mariantoc.github.io/Notas-Geologicas-2025/geochemistry.html#Erlichetal2000</v>
      </c>
    </row>
    <row r="1143" spans="1:7" x14ac:dyDescent="0.3">
      <c r="A1143">
        <f t="shared" si="35"/>
        <v>1142</v>
      </c>
      <c r="B1143" t="s">
        <v>4159</v>
      </c>
      <c r="C1143" t="s">
        <v>4160</v>
      </c>
      <c r="D1143">
        <v>2011</v>
      </c>
      <c r="E1143" t="s">
        <v>4161</v>
      </c>
      <c r="F1143" t="s">
        <v>4167</v>
      </c>
      <c r="G1143" s="3" t="str">
        <f t="shared" si="34"/>
        <v>https://mariantoc.github.io/Notas-Geologicas-2025/igneous.html#DeAbrisquetaAetal2011</v>
      </c>
    </row>
    <row r="1144" spans="1:7" x14ac:dyDescent="0.3">
      <c r="A1144">
        <f t="shared" si="35"/>
        <v>1143</v>
      </c>
      <c r="B1144" t="s">
        <v>4162</v>
      </c>
      <c r="D1144">
        <v>1982</v>
      </c>
      <c r="E1144" t="s">
        <v>4163</v>
      </c>
      <c r="F1144" t="s">
        <v>4168</v>
      </c>
      <c r="G1144" s="3" t="str">
        <f t="shared" si="34"/>
        <v>https://mariantoc.github.io/Notas-Geologicas-2025/ecology.html#Carta1982</v>
      </c>
    </row>
    <row r="1145" spans="1:7" x14ac:dyDescent="0.3">
      <c r="A1145">
        <f t="shared" si="35"/>
        <v>1144</v>
      </c>
      <c r="B1145" t="s">
        <v>4169</v>
      </c>
      <c r="D1145">
        <v>1997</v>
      </c>
      <c r="E1145" t="s">
        <v>4170</v>
      </c>
      <c r="F1145" t="s">
        <v>4181</v>
      </c>
      <c r="G1145" s="3" t="str">
        <f t="shared" si="34"/>
        <v>https://mariantoc.github.io/Notas-Geologicas-2025/biography.html#Pioneros1997</v>
      </c>
    </row>
    <row r="1146" spans="1:7" x14ac:dyDescent="0.3">
      <c r="A1146">
        <f t="shared" si="35"/>
        <v>1145</v>
      </c>
      <c r="B1146" t="s">
        <v>4171</v>
      </c>
      <c r="C1146" t="s">
        <v>449</v>
      </c>
      <c r="D1146">
        <v>2025</v>
      </c>
      <c r="E1146" t="s">
        <v>3242</v>
      </c>
      <c r="F1146" t="s">
        <v>4182</v>
      </c>
      <c r="G1146" s="3" t="str">
        <f t="shared" si="34"/>
        <v>https://mariantoc.github.io/Notas-Geologicas-2025/biography.html#RodriguezJA2025f</v>
      </c>
    </row>
    <row r="1147" spans="1:7" x14ac:dyDescent="0.3">
      <c r="A1147">
        <f t="shared" si="35"/>
        <v>1146</v>
      </c>
      <c r="B1147" t="s">
        <v>4172</v>
      </c>
      <c r="C1147" t="s">
        <v>4173</v>
      </c>
      <c r="D1147">
        <v>2016</v>
      </c>
      <c r="E1147" t="s">
        <v>4174</v>
      </c>
      <c r="F1147" t="s">
        <v>4183</v>
      </c>
      <c r="G1147" s="3" t="str">
        <f t="shared" si="34"/>
        <v>https://mariantoc.github.io/Notas-Geologicas-2025/glaciers.html#FortunaICeballosA2016</v>
      </c>
    </row>
    <row r="1148" spans="1:7" x14ac:dyDescent="0.3">
      <c r="A1148">
        <f t="shared" si="35"/>
        <v>1147</v>
      </c>
      <c r="B1148" t="s">
        <v>4175</v>
      </c>
      <c r="C1148" t="s">
        <v>4176</v>
      </c>
      <c r="D1148">
        <v>2000</v>
      </c>
      <c r="E1148" t="s">
        <v>4177</v>
      </c>
      <c r="F1148" t="s">
        <v>4184</v>
      </c>
      <c r="G1148" s="3" t="str">
        <f t="shared" si="34"/>
        <v>https://mariantoc.github.io/Notas-Geologicas-2025/stratigraphy.html#Petersonetal2000</v>
      </c>
    </row>
    <row r="1149" spans="1:7" x14ac:dyDescent="0.3">
      <c r="A1149">
        <f t="shared" si="35"/>
        <v>1148</v>
      </c>
      <c r="B1149" t="s">
        <v>4178</v>
      </c>
      <c r="C1149" t="s">
        <v>4179</v>
      </c>
      <c r="D1149">
        <v>2000</v>
      </c>
      <c r="E1149" t="s">
        <v>4180</v>
      </c>
      <c r="F1149" t="s">
        <v>4185</v>
      </c>
      <c r="G1149" s="3" t="str">
        <f t="shared" si="34"/>
        <v>https://mariantoc.github.io/Notas-Geologicas-2025/geochemistry.html#BricenoHCallejonA2000</v>
      </c>
    </row>
    <row r="1150" spans="1:7" x14ac:dyDescent="0.3">
      <c r="A1150">
        <f t="shared" si="35"/>
        <v>1149</v>
      </c>
      <c r="B1150" t="s">
        <v>4186</v>
      </c>
      <c r="C1150" t="s">
        <v>4187</v>
      </c>
      <c r="D1150">
        <v>1989</v>
      </c>
      <c r="E1150" t="s">
        <v>4191</v>
      </c>
      <c r="F1150" t="s">
        <v>4203</v>
      </c>
      <c r="G1150" s="3" t="str">
        <f t="shared" si="34"/>
        <v>https://mariantoc.github.io/Notas-Geologicas-2025/stratigraphy.html#FuenmayorA1989</v>
      </c>
    </row>
    <row r="1151" spans="1:7" x14ac:dyDescent="0.3">
      <c r="A1151">
        <f t="shared" si="35"/>
        <v>1150</v>
      </c>
      <c r="B1151" t="s">
        <v>4188</v>
      </c>
      <c r="C1151" t="s">
        <v>4189</v>
      </c>
      <c r="D1151">
        <v>1982</v>
      </c>
      <c r="E1151" t="s">
        <v>4190</v>
      </c>
      <c r="F1151" t="s">
        <v>4204</v>
      </c>
      <c r="G1151" s="3" t="str">
        <f t="shared" si="34"/>
        <v>https://mariantoc.github.io/Notas-Geologicas-2025/ecology.html#HoyosJ1982</v>
      </c>
    </row>
    <row r="1152" spans="1:7" x14ac:dyDescent="0.3">
      <c r="A1152">
        <f t="shared" si="35"/>
        <v>1151</v>
      </c>
      <c r="B1152" t="s">
        <v>4192</v>
      </c>
      <c r="C1152" t="s">
        <v>3237</v>
      </c>
      <c r="D1152">
        <v>1974</v>
      </c>
      <c r="E1152" t="s">
        <v>4193</v>
      </c>
      <c r="F1152" t="s">
        <v>4205</v>
      </c>
      <c r="G1152" s="3" t="str">
        <f t="shared" si="34"/>
        <v>https://mariantoc.github.io/Notas-Geologicas-2025/minerals.html#RodriguezSE1974</v>
      </c>
    </row>
    <row r="1153" spans="1:7" x14ac:dyDescent="0.3">
      <c r="A1153">
        <f t="shared" si="35"/>
        <v>1152</v>
      </c>
      <c r="B1153" t="s">
        <v>4195</v>
      </c>
      <c r="C1153" t="s">
        <v>614</v>
      </c>
      <c r="D1153">
        <v>2004</v>
      </c>
      <c r="E1153" t="s">
        <v>4194</v>
      </c>
      <c r="F1153" t="s">
        <v>4206</v>
      </c>
      <c r="G1153" s="3" t="str">
        <f t="shared" si="34"/>
        <v>https://mariantoc.github.io/Notas-Geologicas-2025/minerals.html#UrbaniF2004</v>
      </c>
    </row>
    <row r="1154" spans="1:7" x14ac:dyDescent="0.3">
      <c r="A1154">
        <f t="shared" si="35"/>
        <v>1153</v>
      </c>
      <c r="B1154" t="s">
        <v>4196</v>
      </c>
      <c r="C1154" t="s">
        <v>1935</v>
      </c>
      <c r="D1154">
        <v>2001</v>
      </c>
      <c r="E1154" t="s">
        <v>4197</v>
      </c>
      <c r="F1154" t="s">
        <v>4207</v>
      </c>
      <c r="G1154" s="3" t="str">
        <f t="shared" si="34"/>
        <v>https://mariantoc.github.io/Notas-Geologicas-2025/biography.html#CGV2001</v>
      </c>
    </row>
    <row r="1155" spans="1:7" x14ac:dyDescent="0.3">
      <c r="A1155">
        <f t="shared" si="35"/>
        <v>1154</v>
      </c>
      <c r="B1155" t="s">
        <v>4198</v>
      </c>
      <c r="C1155" t="s">
        <v>2244</v>
      </c>
      <c r="D1155">
        <v>1983</v>
      </c>
      <c r="E1155" t="s">
        <v>4199</v>
      </c>
      <c r="F1155" t="s">
        <v>4208</v>
      </c>
      <c r="G1155" s="3" t="str">
        <f t="shared" ref="G1155:G1170" si="36">HYPERLINK(F1155)</f>
        <v>https://mariantoc.github.io/Notas-Geologicas-2025/structural.html#SchubertC1983</v>
      </c>
    </row>
    <row r="1156" spans="1:7" x14ac:dyDescent="0.3">
      <c r="A1156">
        <f t="shared" si="35"/>
        <v>1155</v>
      </c>
      <c r="B1156" t="s">
        <v>4200</v>
      </c>
      <c r="C1156" t="s">
        <v>4201</v>
      </c>
      <c r="D1156">
        <v>2002</v>
      </c>
      <c r="E1156" t="s">
        <v>4202</v>
      </c>
      <c r="F1156" t="s">
        <v>4209</v>
      </c>
      <c r="G1156" s="3" t="str">
        <f t="shared" si="36"/>
        <v>https://mariantoc.github.io/Notas-Geologicas-2025/stratigraphy.html#PerazaT2002</v>
      </c>
    </row>
    <row r="1157" spans="1:7" x14ac:dyDescent="0.3">
      <c r="A1157">
        <f t="shared" si="35"/>
        <v>1156</v>
      </c>
      <c r="B1157" t="s">
        <v>4210</v>
      </c>
      <c r="C1157" t="s">
        <v>4211</v>
      </c>
      <c r="D1157">
        <v>2001</v>
      </c>
      <c r="E1157" t="s">
        <v>4212</v>
      </c>
      <c r="F1157" t="s">
        <v>4227</v>
      </c>
      <c r="G1157" s="3" t="str">
        <f t="shared" si="36"/>
        <v>https://mariantoc.github.io/Notas-Geologicas-2025/minerals.html#SifontesRS2001</v>
      </c>
    </row>
    <row r="1158" spans="1:7" x14ac:dyDescent="0.3">
      <c r="A1158">
        <f t="shared" ref="A1158:A1170" si="37">A1157+1</f>
        <v>1157</v>
      </c>
      <c r="B1158" t="s">
        <v>4213</v>
      </c>
      <c r="C1158" t="s">
        <v>4214</v>
      </c>
      <c r="D1158">
        <v>1994</v>
      </c>
      <c r="E1158" t="s">
        <v>4215</v>
      </c>
      <c r="F1158" t="s">
        <v>4228</v>
      </c>
      <c r="G1158" s="3" t="str">
        <f t="shared" si="36"/>
        <v>https://mariantoc.github.io/Notas-Geologicas-2025/stratigraphy.html#MoodyJMMaiseyJG1994</v>
      </c>
    </row>
    <row r="1159" spans="1:7" x14ac:dyDescent="0.3">
      <c r="A1159">
        <f t="shared" si="37"/>
        <v>1158</v>
      </c>
      <c r="B1159" t="s">
        <v>4216</v>
      </c>
      <c r="C1159" t="s">
        <v>4201</v>
      </c>
      <c r="D1159">
        <v>2002</v>
      </c>
      <c r="E1159" t="s">
        <v>4217</v>
      </c>
      <c r="F1159" t="s">
        <v>4229</v>
      </c>
      <c r="G1159" s="3" t="str">
        <f t="shared" si="36"/>
        <v>https://mariantoc.github.io/Notas-Geologicas-2025/stratigraphy.html#PerazaT2002a</v>
      </c>
    </row>
    <row r="1160" spans="1:7" x14ac:dyDescent="0.3">
      <c r="A1160">
        <f t="shared" si="37"/>
        <v>1159</v>
      </c>
      <c r="B1160" t="s">
        <v>4218</v>
      </c>
      <c r="C1160" t="s">
        <v>22</v>
      </c>
      <c r="D1160">
        <v>1989</v>
      </c>
      <c r="E1160" t="s">
        <v>4219</v>
      </c>
      <c r="F1160" t="s">
        <v>4230</v>
      </c>
      <c r="G1160" s="3" t="str">
        <f t="shared" si="36"/>
        <v>https://mariantoc.github.io/Notas-Geologicas-2025/stratigraphy.html#CastroM1989</v>
      </c>
    </row>
    <row r="1161" spans="1:7" x14ac:dyDescent="0.3">
      <c r="A1161">
        <f t="shared" si="37"/>
        <v>1160</v>
      </c>
      <c r="B1161" t="s">
        <v>4220</v>
      </c>
      <c r="C1161" t="s">
        <v>4221</v>
      </c>
      <c r="D1161">
        <v>2013</v>
      </c>
      <c r="E1161" t="s">
        <v>4222</v>
      </c>
      <c r="F1161" t="s">
        <v>4231</v>
      </c>
      <c r="G1161" s="3" t="str">
        <f t="shared" si="36"/>
        <v>https://mariantoc.github.io/Notas-Geologicas-2025/biography.html#NieschulzE</v>
      </c>
    </row>
    <row r="1162" spans="1:7" x14ac:dyDescent="0.3">
      <c r="A1162">
        <f t="shared" si="37"/>
        <v>1161</v>
      </c>
      <c r="B1162" t="s">
        <v>4223</v>
      </c>
      <c r="C1162" t="s">
        <v>4224</v>
      </c>
      <c r="D1162">
        <v>1997</v>
      </c>
      <c r="E1162" t="s">
        <v>4225</v>
      </c>
      <c r="F1162" t="s">
        <v>4232</v>
      </c>
      <c r="G1162" s="3" t="str">
        <f t="shared" si="36"/>
        <v>https://mariantoc.github.io/Notas-Geologicas-2025/stratigraphy.html#SavainVSchererW1997</v>
      </c>
    </row>
    <row r="1163" spans="1:7" x14ac:dyDescent="0.3">
      <c r="A1163">
        <f t="shared" si="37"/>
        <v>1162</v>
      </c>
      <c r="B1163" t="s">
        <v>4226</v>
      </c>
      <c r="C1163" t="s">
        <v>2861</v>
      </c>
      <c r="D1163">
        <v>1996</v>
      </c>
      <c r="E1163" t="s">
        <v>4233</v>
      </c>
      <c r="F1163" t="s">
        <v>4234</v>
      </c>
      <c r="G1163" s="3" t="str">
        <f t="shared" si="36"/>
        <v>https://mariantoc.github.io/Notas-Geologicas-2025/biography.html#UrbaniF1996</v>
      </c>
    </row>
    <row r="1164" spans="1:7" x14ac:dyDescent="0.3">
      <c r="A1164">
        <f t="shared" si="37"/>
        <v>1163</v>
      </c>
      <c r="B1164" t="s">
        <v>4235</v>
      </c>
      <c r="C1164" t="s">
        <v>4236</v>
      </c>
      <c r="D1164">
        <v>2026</v>
      </c>
      <c r="E1164" t="s">
        <v>4237</v>
      </c>
      <c r="F1164" s="3" t="s">
        <v>4254</v>
      </c>
      <c r="G1164" s="3" t="str">
        <f t="shared" si="36"/>
        <v>https://mariantoc.github.io/Notas-Geologicas-2025/biography.html#JuszcykKRzenik202S6</v>
      </c>
    </row>
    <row r="1165" spans="1:7" x14ac:dyDescent="0.3">
      <c r="A1165">
        <f t="shared" si="37"/>
        <v>1164</v>
      </c>
      <c r="B1165" t="s">
        <v>4238</v>
      </c>
      <c r="C1165" t="s">
        <v>4239</v>
      </c>
      <c r="D1165">
        <v>1954</v>
      </c>
      <c r="E1165" t="s">
        <v>4240</v>
      </c>
      <c r="F1165" s="3" t="s">
        <v>4255</v>
      </c>
      <c r="G1165" s="3" t="str">
        <f t="shared" si="36"/>
        <v>https://mariantoc.github.io/Notas-Geologicas-2025/fields.html#SugarE1954</v>
      </c>
    </row>
    <row r="1166" spans="1:7" x14ac:dyDescent="0.3">
      <c r="A1166">
        <f t="shared" si="37"/>
        <v>1165</v>
      </c>
      <c r="B1166" t="s">
        <v>4241</v>
      </c>
      <c r="C1166" t="s">
        <v>4242</v>
      </c>
      <c r="D1166">
        <v>1972</v>
      </c>
      <c r="E1166" t="s">
        <v>4243</v>
      </c>
      <c r="F1166" s="3" t="s">
        <v>4256</v>
      </c>
      <c r="G1166" s="3" t="str">
        <f t="shared" si="36"/>
        <v>https://mariantoc.github.io/Notas-Geologicas-2025/minerals.html#ZosayaD1972</v>
      </c>
    </row>
    <row r="1167" spans="1:7" x14ac:dyDescent="0.3">
      <c r="A1167">
        <f t="shared" si="37"/>
        <v>1166</v>
      </c>
      <c r="B1167" t="s">
        <v>4244</v>
      </c>
      <c r="C1167" t="s">
        <v>4245</v>
      </c>
      <c r="D1167">
        <v>1973</v>
      </c>
      <c r="E1167" t="s">
        <v>4246</v>
      </c>
      <c r="F1167" s="3" t="s">
        <v>4257</v>
      </c>
      <c r="G1167" s="3" t="str">
        <f t="shared" si="36"/>
        <v>https://mariantoc.github.io/Notas-Geologicas-2025/stratigraphy.html#GameroG1973</v>
      </c>
    </row>
    <row r="1168" spans="1:7" x14ac:dyDescent="0.3">
      <c r="A1168">
        <f t="shared" si="37"/>
        <v>1167</v>
      </c>
      <c r="B1168" t="s">
        <v>4247</v>
      </c>
      <c r="C1168" t="s">
        <v>449</v>
      </c>
      <c r="D1168">
        <v>2023</v>
      </c>
      <c r="E1168" t="s">
        <v>4248</v>
      </c>
      <c r="F1168" s="3" t="s">
        <v>4258</v>
      </c>
      <c r="G1168" s="3" t="str">
        <f t="shared" si="36"/>
        <v>https://mariantoc.github.io/Notas-Geologicas-2025/biography.html#RodriguezJA2023</v>
      </c>
    </row>
    <row r="1169" spans="1:7" x14ac:dyDescent="0.3">
      <c r="A1169">
        <f t="shared" si="37"/>
        <v>1168</v>
      </c>
      <c r="B1169" t="s">
        <v>4249</v>
      </c>
      <c r="C1169" t="s">
        <v>3016</v>
      </c>
      <c r="D1169">
        <v>1971</v>
      </c>
      <c r="E1169" t="s">
        <v>4250</v>
      </c>
      <c r="F1169" s="3" t="s">
        <v>4259</v>
      </c>
      <c r="G1169" s="3" t="str">
        <f t="shared" si="36"/>
        <v>https://mariantoc.github.io/Notas-Geologicas-2025/stratigraphy.html#MacsotayO1971</v>
      </c>
    </row>
    <row r="1170" spans="1:7" x14ac:dyDescent="0.3">
      <c r="A1170">
        <f t="shared" si="37"/>
        <v>1169</v>
      </c>
      <c r="B1170" t="s">
        <v>4251</v>
      </c>
      <c r="C1170" t="s">
        <v>4252</v>
      </c>
      <c r="D1170">
        <v>1987</v>
      </c>
      <c r="E1170" t="s">
        <v>4253</v>
      </c>
      <c r="F1170" s="3" t="s">
        <v>4260</v>
      </c>
      <c r="G1170" s="3" t="str">
        <f t="shared" si="36"/>
        <v>https://mariantoc.github.io/Notas-Geologicas-2025/ecology.html#JacomeJC1987</v>
      </c>
    </row>
  </sheetData>
  <autoFilter ref="A1:G1167" xr:uid="{6B496A77-4B74-49B4-B08F-A7274E320005}"/>
  <phoneticPr fontId="4" type="noConversion"/>
  <hyperlinks>
    <hyperlink ref="F1167" r:id="rId1" location="GameroG1973" xr:uid="{82DE44F7-E6B9-4F8F-92E5-98EBC94F994B}"/>
    <hyperlink ref="F1164" r:id="rId2" location="JuszcykKRzenik202S6" xr:uid="{E8518A5D-D9B7-42E8-924D-4FAA2422B4E2}"/>
    <hyperlink ref="F1165" r:id="rId3" location="SugarE1954" xr:uid="{4A33A262-0F4B-4F1C-99A7-997489B86EEC}"/>
    <hyperlink ref="F1166" r:id="rId4" location="ZosayaD1972" xr:uid="{D5CB4971-4F15-45D5-B0B5-AC1A0934CD44}"/>
    <hyperlink ref="F1168" r:id="rId5" location="RodriguezJA2023" xr:uid="{7D48D9F9-C7D1-4766-8AFD-4083E7384F1E}"/>
    <hyperlink ref="F1169" r:id="rId6" location="MacsotayO1971" xr:uid="{A60A1E08-4E9A-4466-AEE7-6972EEC961AC}"/>
    <hyperlink ref="F1170" r:id="rId7" location="JacomeJC1987" xr:uid="{D208BBD9-7AB0-467B-98AB-8096B5FEE597}"/>
  </hyperlinks>
  <pageMargins left="0.7" right="0.7" top="0.75" bottom="0.75" header="0.3" footer="0.3"/>
  <pageSetup orientation="portrait" r:id="rId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2026-01-24T13:01:39Z</dcterms:modified>
</cp:coreProperties>
</file>